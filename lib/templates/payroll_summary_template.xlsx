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amillepaulatusi/Documents/GitHub/payroll_smt/lib/templates/"/>
    </mc:Choice>
  </mc:AlternateContent>
  <xr:revisionPtr revIDLastSave="0" documentId="8_{C954609E-600E-3940-B6CB-447322E58260}" xr6:coauthVersionLast="47" xr6:coauthVersionMax="47" xr10:uidLastSave="{00000000-0000-0000-0000-000000000000}"/>
  <bookViews>
    <workbookView xWindow="1860" yWindow="1500" windowWidth="26560" windowHeight="15940" xr2:uid="{00000000-000D-0000-FFFF-FFFF00000000}"/>
  </bookViews>
  <sheets>
    <sheet name="FINAL PAYROLL SUMMARY" sheetId="1" r:id="rId1"/>
    <sheet name="Sheet2" sheetId="2" r:id="rId2"/>
    <sheet name="Sheet1" sheetId="3" r:id="rId3"/>
  </sheets>
  <definedNames>
    <definedName name="_xlnm.Print_Area" localSheetId="0">'FINAL PAYROLL SUMMARY'!$F$6:$DC$20</definedName>
    <definedName name="_xlnm.Print_Titles" localSheetId="0">'FINAL PAYROLL SUMMARY'!$1:$9,'FINAL PAYROLL SUMMARY'!$B:$E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Y15" i="2" l="1"/>
  <c r="CW15" i="2"/>
  <c r="CV15" i="2"/>
  <c r="CU15" i="2"/>
  <c r="CT15" i="2"/>
  <c r="CS15" i="2"/>
  <c r="CR15" i="2"/>
  <c r="CQ15" i="2"/>
  <c r="CP15" i="2"/>
  <c r="CN15" i="2"/>
  <c r="Y15" i="2"/>
  <c r="F15" i="2"/>
  <c r="DA10" i="2"/>
  <c r="CL10" i="2"/>
  <c r="CM10" i="2" s="1"/>
  <c r="CH10" i="2"/>
  <c r="CI10" i="2" s="1"/>
  <c r="CI15" i="2" s="1"/>
  <c r="CD10" i="2"/>
  <c r="CE10" i="2" s="1"/>
  <c r="CA10" i="2"/>
  <c r="CA15" i="2" s="1"/>
  <c r="BZ10" i="2"/>
  <c r="BV10" i="2"/>
  <c r="BW10" i="2" s="1"/>
  <c r="BR10" i="2"/>
  <c r="BS10" i="2" s="1"/>
  <c r="BS15" i="2" s="1"/>
  <c r="BN10" i="2"/>
  <c r="BO10" i="2" s="1"/>
  <c r="BK10" i="2"/>
  <c r="BK15" i="2" s="1"/>
  <c r="BJ10" i="2"/>
  <c r="BF10" i="2"/>
  <c r="BG10" i="2" s="1"/>
  <c r="BB10" i="2"/>
  <c r="BC10" i="2" s="1"/>
  <c r="BC15" i="2" s="1"/>
  <c r="AX10" i="2"/>
  <c r="AY10" i="2" s="1"/>
  <c r="AU10" i="2"/>
  <c r="AU15" i="2" s="1"/>
  <c r="AT10" i="2"/>
  <c r="AP10" i="2"/>
  <c r="AM10" i="2"/>
  <c r="AQ10" i="2" s="1"/>
  <c r="AQ15" i="2" s="1"/>
  <c r="AJ10" i="2"/>
  <c r="AG10" i="2"/>
  <c r="AK10" i="2" s="1"/>
  <c r="AK15" i="2" s="1"/>
  <c r="AE10" i="2"/>
  <c r="AE15" i="2" s="1"/>
  <c r="AB10" i="2"/>
  <c r="Y10" i="2"/>
  <c r="AC10" i="2" s="1"/>
  <c r="AC15" i="2" s="1"/>
  <c r="V10" i="2"/>
  <c r="S10" i="2"/>
  <c r="S15" i="2" s="1"/>
  <c r="P10" i="2"/>
  <c r="Q10" i="2" s="1"/>
  <c r="Q15" i="2" s="1"/>
  <c r="M10" i="2"/>
  <c r="M15" i="2" s="1"/>
  <c r="J10" i="2"/>
  <c r="K10" i="2" s="1"/>
  <c r="K15" i="2" s="1"/>
  <c r="G10" i="2"/>
  <c r="CY15" i="1"/>
  <c r="CW15" i="1"/>
  <c r="CV15" i="1"/>
  <c r="CU15" i="1"/>
  <c r="CT15" i="1"/>
  <c r="CS15" i="1"/>
  <c r="CR15" i="1"/>
  <c r="CQ15" i="1"/>
  <c r="CP15" i="1"/>
  <c r="CN15" i="1"/>
  <c r="BS15" i="1"/>
  <c r="BC15" i="1"/>
  <c r="AM15" i="1"/>
  <c r="S15" i="1"/>
  <c r="F15" i="1"/>
  <c r="DA10" i="1"/>
  <c r="CL10" i="1"/>
  <c r="CM10" i="1" s="1"/>
  <c r="CI10" i="1"/>
  <c r="CI15" i="1" s="1"/>
  <c r="CH10" i="1"/>
  <c r="CE10" i="1"/>
  <c r="CD10" i="1"/>
  <c r="CA10" i="1"/>
  <c r="CA15" i="1" s="1"/>
  <c r="BZ10" i="1"/>
  <c r="BV10" i="1"/>
  <c r="BW10" i="1" s="1"/>
  <c r="BS10" i="1"/>
  <c r="BR10" i="1"/>
  <c r="BO10" i="1"/>
  <c r="BN10" i="1"/>
  <c r="BK10" i="1"/>
  <c r="BK15" i="1" s="1"/>
  <c r="BJ10" i="1"/>
  <c r="BF10" i="1"/>
  <c r="BG10" i="1" s="1"/>
  <c r="BC10" i="1"/>
  <c r="BB10" i="1"/>
  <c r="AY10" i="1"/>
  <c r="AX10" i="1"/>
  <c r="AU10" i="1"/>
  <c r="AU15" i="1" s="1"/>
  <c r="AT10" i="1"/>
  <c r="AP10" i="1"/>
  <c r="AQ10" i="1" s="1"/>
  <c r="AQ15" i="1" s="1"/>
  <c r="AM10" i="1"/>
  <c r="AJ10" i="1"/>
  <c r="AG10" i="1"/>
  <c r="AG15" i="1" s="1"/>
  <c r="AE10" i="1"/>
  <c r="AE15" i="1" s="1"/>
  <c r="AB10" i="1"/>
  <c r="Y10" i="1"/>
  <c r="Y15" i="1" s="1"/>
  <c r="V10" i="1"/>
  <c r="S10" i="1"/>
  <c r="W10" i="1" s="1"/>
  <c r="W15" i="1" s="1"/>
  <c r="P10" i="1"/>
  <c r="M10" i="1"/>
  <c r="M15" i="1" s="1"/>
  <c r="J10" i="1"/>
  <c r="K10" i="1" s="1"/>
  <c r="G10" i="1"/>
  <c r="K15" i="1" l="1"/>
  <c r="AC10" i="1"/>
  <c r="AC15" i="1" s="1"/>
  <c r="AG15" i="2"/>
  <c r="Q10" i="1"/>
  <c r="Q15" i="1" s="1"/>
  <c r="W10" i="2"/>
  <c r="W15" i="2" s="1"/>
  <c r="AM15" i="2"/>
  <c r="AK10" i="1"/>
  <c r="AK15" i="1" s="1"/>
  <c r="CO10" i="2" l="1"/>
  <c r="CO10" i="1"/>
  <c r="DB10" i="1" l="1"/>
  <c r="DB15" i="1" s="1"/>
  <c r="CO15" i="1"/>
  <c r="CO15" i="2"/>
  <c r="DB10" i="2"/>
  <c r="DB15" i="2" s="1"/>
</calcChain>
</file>

<file path=xl/sharedStrings.xml><?xml version="1.0" encoding="utf-8"?>
<sst xmlns="http://schemas.openxmlformats.org/spreadsheetml/2006/main" count="297" uniqueCount="83">
  <si>
    <t>COMPANY</t>
  </si>
  <si>
    <t>Salaries &amp; Wages</t>
  </si>
  <si>
    <t>Period</t>
  </si>
  <si>
    <t>NAME</t>
  </si>
  <si>
    <t>STATUS OF EMPLOYMENT</t>
  </si>
  <si>
    <t>NO. OF DAYS</t>
  </si>
  <si>
    <t>DAILY RATE</t>
  </si>
  <si>
    <t>ALLOWANCE</t>
  </si>
  <si>
    <t>OVERTIME PAY</t>
  </si>
  <si>
    <t>REST DAY PAY</t>
  </si>
  <si>
    <t>OT - REST DAY PAY</t>
  </si>
  <si>
    <t>REIMBURSEMENTS</t>
  </si>
  <si>
    <t>GROSS PAY</t>
  </si>
  <si>
    <t>D  E  D  U  C  T  I  O  N  S</t>
  </si>
  <si>
    <t>TOTAL DEDUCTIONS</t>
  </si>
  <si>
    <t>NET PAY</t>
  </si>
  <si>
    <t>SIGNATURE</t>
  </si>
  <si>
    <t>SPECIAL NON-WORKING HOLIDAY PAY</t>
  </si>
  <si>
    <t>OT - SPECIAL NON-WORKING HOLIDAY PAY</t>
  </si>
  <si>
    <t>SPECIAL NON-WORKING HOLIDAY PAY ON REST DAY</t>
  </si>
  <si>
    <t>OT - SPECIAL NON-WORKING HOLIDAY PAY ON REST DAY</t>
  </si>
  <si>
    <t>REGULAR HOLIDAY PAY (NOT WORKED)</t>
  </si>
  <si>
    <t>REGULAR HOLIDAY PAY</t>
  </si>
  <si>
    <t>OT - REGULAR HOLIDAY PAY</t>
  </si>
  <si>
    <t>REGULAR HOLIDAY PAY ON REST DAY</t>
  </si>
  <si>
    <t>OT - REGULAR HOLIDAY PAY ON REST DAY</t>
  </si>
  <si>
    <t>ORDINARY WORKING DAY</t>
  </si>
  <si>
    <t>OT - ORDINARY WORKING DAY</t>
  </si>
  <si>
    <t>REST DAY</t>
  </si>
  <si>
    <t>OT - REST DAY</t>
  </si>
  <si>
    <t>SPECIAL NON-WORKING HOLIDAY</t>
  </si>
  <si>
    <t>OT - SPECIAL NON-WORKING HOLIDAY</t>
  </si>
  <si>
    <t>SPECIAL NON-WORKING HOLIDAY ON REST DAY</t>
  </si>
  <si>
    <t>OT - SPECIAL NON-WORKING HOLIDAY ON REST DAY</t>
  </si>
  <si>
    <t>REGULAR HOLIDAY</t>
  </si>
  <si>
    <t>OT - REGULAR HOLIDAY</t>
  </si>
  <si>
    <t>REGULAR HOLIDAY ON REST DAY</t>
  </si>
  <si>
    <t>OT - REGULAR HOLIDAY ON REST DAY</t>
  </si>
  <si>
    <t>[specific holiday]</t>
  </si>
  <si>
    <t>GOVERNMENT</t>
  </si>
  <si>
    <t>Per day</t>
  </si>
  <si>
    <t>Total</t>
  </si>
  <si>
    <t>HR</t>
  </si>
  <si>
    <t>MIN</t>
  </si>
  <si>
    <t>TOTAL TIME</t>
  </si>
  <si>
    <t xml:space="preserve">SSS            </t>
  </si>
  <si>
    <t xml:space="preserve">SSS LOAN            </t>
  </si>
  <si>
    <t xml:space="preserve">HDMF        </t>
  </si>
  <si>
    <t>HDMF LOAN</t>
  </si>
  <si>
    <t xml:space="preserve">PHIC               </t>
  </si>
  <si>
    <t>CASH ADVANCE</t>
  </si>
  <si>
    <t>RICE</t>
  </si>
  <si>
    <t>MATERIALS</t>
  </si>
  <si>
    <t>GROCERIES</t>
  </si>
  <si>
    <t>LATE/
UNDERTIME</t>
  </si>
  <si>
    <t>OVERPAYMENT</t>
  </si>
  <si>
    <t>Regular</t>
  </si>
  <si>
    <t>Casual</t>
  </si>
  <si>
    <t>Probationary</t>
  </si>
  <si>
    <t>Contractual</t>
  </si>
  <si>
    <t>Prepared By:</t>
  </si>
  <si>
    <t xml:space="preserve"> </t>
  </si>
  <si>
    <t>Elaine Beatriz C. Bello</t>
  </si>
  <si>
    <t>Approved  &amp; Released By:</t>
  </si>
  <si>
    <t>Ms. Winalene E. Sescar</t>
  </si>
  <si>
    <t>Employee Number</t>
  </si>
  <si>
    <t>Employee Name</t>
  </si>
  <si>
    <t>Daily Rate</t>
  </si>
  <si>
    <t>Reg Hrs</t>
  </si>
  <si>
    <t>OT Hrs</t>
  </si>
  <si>
    <t>Hol/RD Hrs</t>
  </si>
  <si>
    <t>ND Hrs</t>
  </si>
  <si>
    <t>Basic Pay</t>
  </si>
  <si>
    <t>Holiday Pay</t>
  </si>
  <si>
    <t>OT Pay</t>
  </si>
  <si>
    <t>ND Pay</t>
  </si>
  <si>
    <t>Allowance</t>
  </si>
  <si>
    <t>Gross Pay</t>
  </si>
  <si>
    <t>SSS</t>
  </si>
  <si>
    <t>PhilHealth</t>
  </si>
  <si>
    <t>Pag-IBIG</t>
  </si>
  <si>
    <t>Others</t>
  </si>
  <si>
    <t>Total 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</si>
</sst>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"/>
  </numFmts>
  <fonts count="50" x14ac:knownFonts="1">
    <font>
      <sz val="11"/>
      <color theme="1"/>
      <name val="Calibri"/>
      <scheme val="minor"/>
    </font>
    <font>
      <b/>
      <sz val="18"/>
      <color rgb="FF000000"/>
      <name val="Courier New"/>
      <family val="1"/>
    </font>
    <font>
      <b/>
      <sz val="18"/>
      <color rgb="FFFF0000"/>
      <name val="Courier New"/>
      <family val="1"/>
    </font>
    <font>
      <b/>
      <sz val="18"/>
      <color theme="7"/>
      <name val="Courier New"/>
      <family val="1"/>
    </font>
    <font>
      <b/>
      <sz val="18"/>
      <color theme="5"/>
      <name val="Courier New"/>
      <family val="1"/>
    </font>
    <font>
      <b/>
      <sz val="11"/>
      <color rgb="FF1F1F1F"/>
      <name val="Courier New"/>
      <family val="1"/>
    </font>
    <font>
      <sz val="11"/>
      <color theme="1"/>
      <name val="Courier New"/>
      <family val="1"/>
    </font>
    <font>
      <sz val="11"/>
      <color rgb="FF1F1F1F"/>
      <name val="Courier New"/>
      <family val="1"/>
    </font>
    <font>
      <b/>
      <sz val="30"/>
      <color rgb="FF000000"/>
      <name val="Arial"/>
      <family val="2"/>
    </font>
    <font>
      <b/>
      <sz val="30"/>
      <color theme="1"/>
      <name val="Arial"/>
      <family val="2"/>
    </font>
    <font>
      <sz val="10"/>
      <name val="Arial"/>
      <family val="2"/>
    </font>
    <font>
      <b/>
      <sz val="30"/>
      <color rgb="FF980000"/>
      <name val="Arial"/>
      <family val="2"/>
    </font>
    <font>
      <b/>
      <sz val="30"/>
      <color rgb="FF674EA7"/>
      <name val="Arial"/>
      <family val="2"/>
    </font>
    <font>
      <b/>
      <sz val="45"/>
      <color theme="1"/>
      <name val="Arial"/>
      <family val="2"/>
    </font>
    <font>
      <b/>
      <sz val="30"/>
      <color rgb="FFFF0000"/>
      <name val="Arial"/>
      <family val="2"/>
    </font>
    <font>
      <b/>
      <sz val="25"/>
      <color theme="1"/>
      <name val="Arial"/>
      <family val="2"/>
    </font>
    <font>
      <b/>
      <sz val="25"/>
      <color rgb="FF1C4587"/>
      <name val="Arial"/>
      <family val="2"/>
    </font>
    <font>
      <b/>
      <sz val="17"/>
      <color rgb="FF980000"/>
      <name val="Arial"/>
      <family val="2"/>
    </font>
    <font>
      <i/>
      <sz val="17"/>
      <color rgb="FF980000"/>
      <name val="Arial"/>
      <family val="2"/>
    </font>
    <font>
      <b/>
      <sz val="28"/>
      <color theme="1"/>
      <name val="Arial"/>
      <family val="2"/>
    </font>
    <font>
      <b/>
      <sz val="22"/>
      <color theme="1"/>
      <name val="Arial"/>
      <family val="2"/>
    </font>
    <font>
      <b/>
      <sz val="20"/>
      <color theme="1"/>
      <name val="Arial"/>
      <family val="2"/>
    </font>
    <font>
      <b/>
      <sz val="26"/>
      <color rgb="FF38761D"/>
      <name val="Arial"/>
      <family val="2"/>
    </font>
    <font>
      <b/>
      <sz val="20"/>
      <color rgb="FF1C4587"/>
      <name val="Arial"/>
      <family val="2"/>
    </font>
    <font>
      <b/>
      <sz val="20"/>
      <color rgb="FF000000"/>
      <name val="Arial"/>
      <family val="2"/>
    </font>
    <font>
      <b/>
      <sz val="29"/>
      <color theme="1"/>
      <name val="Arial"/>
      <family val="2"/>
    </font>
    <font>
      <b/>
      <sz val="29"/>
      <color rgb="FF38761D"/>
      <name val="Arial"/>
      <family val="2"/>
    </font>
    <font>
      <b/>
      <sz val="29"/>
      <color rgb="FF000000"/>
      <name val="Arial"/>
      <family val="2"/>
    </font>
    <font>
      <b/>
      <sz val="29"/>
      <color rgb="FF674EA7"/>
      <name val="Arial"/>
      <family val="2"/>
    </font>
    <font>
      <b/>
      <sz val="29"/>
      <color rgb="FFFF0000"/>
      <name val="Arial"/>
      <family val="2"/>
    </font>
    <font>
      <b/>
      <i/>
      <sz val="29"/>
      <color theme="1"/>
      <name val="Arial"/>
      <family val="2"/>
    </font>
    <font>
      <b/>
      <sz val="29"/>
      <color theme="4"/>
      <name val="Arial"/>
      <family val="2"/>
    </font>
    <font>
      <b/>
      <sz val="23"/>
      <color rgb="FF674EA7"/>
      <name val="Arial"/>
      <family val="2"/>
    </font>
    <font>
      <sz val="10"/>
      <color rgb="FF000000"/>
      <name val="Calibri"/>
      <family val="2"/>
      <scheme val="minor"/>
    </font>
    <font>
      <b/>
      <sz val="17"/>
      <color theme="1"/>
      <name val="Arial"/>
      <family val="2"/>
    </font>
    <font>
      <b/>
      <sz val="17"/>
      <color rgb="FFFF0000"/>
      <name val="Arial"/>
      <family val="2"/>
    </font>
    <font>
      <b/>
      <sz val="17"/>
      <color rgb="FF4A86E8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b/>
      <sz val="29"/>
      <color rgb="FF4A86E8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6"/>
      <color theme="4"/>
      <name val="Arial"/>
      <family val="2"/>
    </font>
    <font>
      <b/>
      <sz val="30"/>
      <color rgb="FF4A86E8"/>
      <name val="Arial"/>
      <family val="2"/>
    </font>
    <font>
      <b/>
      <sz val="27"/>
      <color theme="1"/>
      <name val="Arial"/>
      <family val="2"/>
    </font>
    <font>
      <b/>
      <sz val="27"/>
      <color rgb="FF4A86E8"/>
      <name val="Arial"/>
      <family val="2"/>
    </font>
    <font>
      <b/>
      <sz val="27"/>
      <color rgb="FFFF0000"/>
      <name val="Arial"/>
      <family val="2"/>
    </font>
    <font>
      <b/>
      <u/>
      <sz val="29"/>
      <color rgb="FF4A86E8"/>
      <name val="Arial"/>
      <family val="2"/>
    </font>
    <font>
      <sz val="10"/>
      <color theme="1"/>
      <name val="Arial"/>
      <family val="2"/>
    </font>
    <font>
      <b/>
      <sz val="16"/>
      <color rgb="FF4A86E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2">
    <xf numFmtId="0" fontId="0" fillId="0" borderId="0"/>
    <xf numFmtId="0" fontId="33" fillId="0" borderId="0"/>
  </cellStyleXfs>
  <cellXfs count="8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34" fillId="0" borderId="3" xfId="1" applyFont="1" applyBorder="1" applyAlignment="1">
      <alignment horizontal="center" vertical="center"/>
    </xf>
    <xf numFmtId="0" fontId="35" fillId="0" borderId="3" xfId="1" applyFont="1" applyBorder="1" applyAlignment="1">
      <alignment horizontal="left" vertical="center"/>
    </xf>
    <xf numFmtId="0" fontId="35" fillId="0" borderId="3" xfId="1" applyFont="1" applyBorder="1" applyAlignment="1">
      <alignment horizontal="center" vertical="center"/>
    </xf>
    <xf numFmtId="0" fontId="36" fillId="0" borderId="3" xfId="1" applyFont="1" applyBorder="1" applyAlignment="1">
      <alignment horizontal="center" vertical="center"/>
    </xf>
    <xf numFmtId="0" fontId="33" fillId="0" borderId="3" xfId="1" applyBorder="1"/>
    <xf numFmtId="0" fontId="37" fillId="0" borderId="3" xfId="1" applyFont="1" applyBorder="1" applyAlignment="1">
      <alignment horizontal="center" vertical="center"/>
    </xf>
    <xf numFmtId="0" fontId="38" fillId="0" borderId="3" xfId="1" applyFont="1" applyBorder="1" applyAlignment="1">
      <alignment horizontal="center" vertical="center"/>
    </xf>
    <xf numFmtId="0" fontId="29" fillId="0" borderId="3" xfId="1" applyFont="1" applyBorder="1" applyAlignment="1">
      <alignment horizontal="left" vertical="center"/>
    </xf>
    <xf numFmtId="0" fontId="29" fillId="0" borderId="3" xfId="1" applyFont="1" applyBorder="1" applyAlignment="1">
      <alignment horizontal="center" vertical="center"/>
    </xf>
    <xf numFmtId="0" fontId="39" fillId="0" borderId="3" xfId="1" applyFont="1" applyBorder="1" applyAlignment="1">
      <alignment horizontal="center" vertical="center"/>
    </xf>
    <xf numFmtId="0" fontId="40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 wrapText="1"/>
    </xf>
    <xf numFmtId="0" fontId="10" fillId="0" borderId="3" xfId="1" applyFont="1" applyBorder="1"/>
    <xf numFmtId="0" fontId="34" fillId="0" borderId="3" xfId="1" applyFont="1" applyBorder="1" applyAlignment="1">
      <alignment horizontal="center" vertical="center" wrapText="1"/>
    </xf>
    <xf numFmtId="0" fontId="17" fillId="2" borderId="3" xfId="1" applyFont="1" applyFill="1" applyBorder="1" applyAlignment="1">
      <alignment horizontal="center" vertical="center" wrapText="1"/>
    </xf>
    <xf numFmtId="0" fontId="21" fillId="0" borderId="3" xfId="1" applyFont="1" applyBorder="1" applyAlignment="1">
      <alignment horizontal="center" vertical="center"/>
    </xf>
    <xf numFmtId="0" fontId="20" fillId="2" borderId="3" xfId="1" applyFont="1" applyFill="1" applyBorder="1" applyAlignment="1">
      <alignment horizontal="center" vertical="center" wrapText="1"/>
    </xf>
    <xf numFmtId="0" fontId="21" fillId="2" borderId="3" xfId="1" applyFont="1" applyFill="1" applyBorder="1" applyAlignment="1">
      <alignment horizontal="center" vertical="center" wrapText="1"/>
    </xf>
    <xf numFmtId="0" fontId="22" fillId="2" borderId="3" xfId="1" applyFont="1" applyFill="1" applyBorder="1" applyAlignment="1">
      <alignment horizontal="center" vertical="center" wrapText="1"/>
    </xf>
    <xf numFmtId="0" fontId="23" fillId="2" borderId="3" xfId="1" applyFont="1" applyFill="1" applyBorder="1" applyAlignment="1">
      <alignment horizontal="center" vertical="center" wrapText="1"/>
    </xf>
    <xf numFmtId="0" fontId="24" fillId="2" borderId="3" xfId="1" applyFont="1" applyFill="1" applyBorder="1" applyAlignment="1">
      <alignment horizontal="center" vertical="center" wrapText="1"/>
    </xf>
    <xf numFmtId="0" fontId="41" fillId="0" borderId="3" xfId="1" applyFont="1" applyBorder="1" applyAlignment="1">
      <alignment horizontal="center" vertical="center"/>
    </xf>
    <xf numFmtId="164" fontId="25" fillId="0" borderId="3" xfId="1" applyNumberFormat="1" applyFont="1" applyBorder="1" applyAlignment="1">
      <alignment horizontal="left" vertical="center" wrapText="1"/>
    </xf>
    <xf numFmtId="0" fontId="25" fillId="0" borderId="3" xfId="1" applyFont="1" applyBorder="1" applyAlignment="1">
      <alignment horizontal="center" vertical="center" wrapText="1"/>
    </xf>
    <xf numFmtId="43" fontId="25" fillId="0" borderId="3" xfId="1" applyNumberFormat="1" applyFont="1" applyBorder="1" applyAlignment="1">
      <alignment horizontal="center" vertical="center" wrapText="1"/>
    </xf>
    <xf numFmtId="43" fontId="26" fillId="0" borderId="3" xfId="1" applyNumberFormat="1" applyFont="1" applyBorder="1" applyAlignment="1">
      <alignment horizontal="center" vertical="center" wrapText="1"/>
    </xf>
    <xf numFmtId="43" fontId="27" fillId="0" borderId="3" xfId="1" applyNumberFormat="1" applyFont="1" applyBorder="1" applyAlignment="1">
      <alignment horizontal="center" vertical="center" wrapText="1"/>
    </xf>
    <xf numFmtId="43" fontId="28" fillId="0" borderId="3" xfId="1" applyNumberFormat="1" applyFont="1" applyBorder="1" applyAlignment="1">
      <alignment horizontal="center" vertical="center"/>
    </xf>
    <xf numFmtId="1" fontId="25" fillId="0" borderId="3" xfId="1" applyNumberFormat="1" applyFont="1" applyBorder="1" applyAlignment="1">
      <alignment horizontal="center" vertical="center" wrapText="1"/>
    </xf>
    <xf numFmtId="43" fontId="28" fillId="0" borderId="3" xfId="1" applyNumberFormat="1" applyFont="1" applyBorder="1" applyAlignment="1">
      <alignment horizontal="center" vertical="center" wrapText="1"/>
    </xf>
    <xf numFmtId="43" fontId="29" fillId="0" borderId="3" xfId="1" applyNumberFormat="1" applyFont="1" applyBorder="1" applyAlignment="1">
      <alignment horizontal="center" vertical="center" wrapText="1"/>
    </xf>
    <xf numFmtId="0" fontId="30" fillId="0" borderId="3" xfId="1" applyFont="1" applyBorder="1" applyAlignment="1">
      <alignment horizontal="center" vertical="center" wrapText="1"/>
    </xf>
    <xf numFmtId="43" fontId="25" fillId="3" borderId="3" xfId="1" applyNumberFormat="1" applyFont="1" applyFill="1" applyBorder="1" applyAlignment="1">
      <alignment horizontal="center" vertical="center" wrapText="1"/>
    </xf>
    <xf numFmtId="0" fontId="42" fillId="0" borderId="3" xfId="1" applyFont="1" applyBorder="1" applyAlignment="1">
      <alignment horizontal="center" vertical="center"/>
    </xf>
    <xf numFmtId="43" fontId="31" fillId="0" borderId="3" xfId="1" applyNumberFormat="1" applyFont="1" applyBorder="1" applyAlignment="1">
      <alignment horizontal="center" vertical="center"/>
    </xf>
    <xf numFmtId="0" fontId="31" fillId="0" borderId="3" xfId="1" applyFont="1" applyBorder="1" applyAlignment="1">
      <alignment horizontal="center" vertical="center"/>
    </xf>
    <xf numFmtId="0" fontId="32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center" vertical="center"/>
    </xf>
    <xf numFmtId="0" fontId="9" fillId="0" borderId="3" xfId="1" applyFont="1" applyBorder="1" applyAlignment="1">
      <alignment horizontal="left" vertical="center"/>
    </xf>
    <xf numFmtId="0" fontId="43" fillId="0" borderId="3" xfId="1" applyFont="1" applyBorder="1" applyAlignment="1">
      <alignment horizontal="center" vertical="center"/>
    </xf>
    <xf numFmtId="0" fontId="44" fillId="0" borderId="3" xfId="1" applyFont="1" applyBorder="1" applyAlignment="1">
      <alignment horizontal="center" vertical="center"/>
    </xf>
    <xf numFmtId="0" fontId="45" fillId="0" borderId="3" xfId="1" applyFont="1" applyBorder="1" applyAlignment="1">
      <alignment horizontal="center" vertical="center"/>
    </xf>
    <xf numFmtId="0" fontId="46" fillId="0" borderId="3" xfId="1" applyFont="1" applyBorder="1" applyAlignment="1">
      <alignment horizontal="center" vertical="center"/>
    </xf>
    <xf numFmtId="43" fontId="14" fillId="0" borderId="3" xfId="1" applyNumberFormat="1" applyFont="1" applyBorder="1" applyAlignment="1">
      <alignment horizontal="center" vertical="center"/>
    </xf>
    <xf numFmtId="0" fontId="25" fillId="0" borderId="3" xfId="1" applyFont="1" applyBorder="1" applyAlignment="1">
      <alignment horizontal="left" vertical="center"/>
    </xf>
    <xf numFmtId="0" fontId="25" fillId="0" borderId="3" xfId="1" applyFont="1" applyBorder="1" applyAlignment="1">
      <alignment horizontal="center" vertical="center"/>
    </xf>
    <xf numFmtId="0" fontId="48" fillId="0" borderId="3" xfId="1" applyFont="1" applyBorder="1"/>
    <xf numFmtId="43" fontId="25" fillId="0" borderId="3" xfId="1" applyNumberFormat="1" applyFont="1" applyBorder="1" applyAlignment="1">
      <alignment horizontal="center" vertical="center"/>
    </xf>
    <xf numFmtId="0" fontId="49" fillId="0" borderId="3" xfId="1" applyFont="1" applyBorder="1" applyAlignment="1">
      <alignment horizontal="center" vertical="center"/>
    </xf>
    <xf numFmtId="43" fontId="41" fillId="0" borderId="3" xfId="1" applyNumberFormat="1" applyFont="1" applyBorder="1" applyAlignment="1">
      <alignment horizontal="center" vertical="center"/>
    </xf>
    <xf numFmtId="43" fontId="47" fillId="0" borderId="3" xfId="1" applyNumberFormat="1" applyFont="1" applyBorder="1" applyAlignment="1">
      <alignment vertical="center"/>
    </xf>
    <xf numFmtId="43" fontId="39" fillId="0" borderId="3" xfId="1" applyNumberFormat="1" applyFont="1" applyBorder="1" applyAlignment="1">
      <alignment vertical="center"/>
    </xf>
    <xf numFmtId="0" fontId="44" fillId="0" borderId="3" xfId="1" applyFont="1" applyBorder="1" applyAlignment="1">
      <alignment vertical="center"/>
    </xf>
    <xf numFmtId="0" fontId="31" fillId="0" borderId="3" xfId="1" applyFont="1" applyBorder="1" applyAlignment="1">
      <alignment vertical="center"/>
    </xf>
    <xf numFmtId="0" fontId="8" fillId="2" borderId="3" xfId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18" fillId="2" borderId="3" xfId="1" applyFont="1" applyFill="1" applyBorder="1" applyAlignment="1">
      <alignment horizontal="center" vertical="center" wrapText="1"/>
    </xf>
    <xf numFmtId="0" fontId="0" fillId="0" borderId="7" xfId="0" applyBorder="1"/>
    <xf numFmtId="0" fontId="16" fillId="2" borderId="3" xfId="1" applyFont="1" applyFill="1" applyBorder="1" applyAlignment="1">
      <alignment horizontal="center" vertical="center" wrapText="1"/>
    </xf>
    <xf numFmtId="0" fontId="0" fillId="0" borderId="6" xfId="0" applyBorder="1"/>
    <xf numFmtId="0" fontId="11" fillId="2" borderId="3" xfId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5" fillId="2" borderId="3" xfId="1" applyFont="1" applyFill="1" applyBorder="1" applyAlignment="1">
      <alignment horizontal="center" vertical="center" wrapText="1"/>
    </xf>
    <xf numFmtId="43" fontId="9" fillId="2" borderId="3" xfId="1" applyNumberFormat="1" applyFont="1" applyFill="1" applyBorder="1" applyAlignment="1">
      <alignment horizontal="center" vertical="center" wrapText="1"/>
    </xf>
    <xf numFmtId="164" fontId="25" fillId="0" borderId="3" xfId="1" applyNumberFormat="1" applyFont="1" applyBorder="1" applyAlignment="1">
      <alignment horizontal="left" vertical="center" wrapText="1"/>
    </xf>
    <xf numFmtId="43" fontId="13" fillId="2" borderId="3" xfId="1" applyNumberFormat="1" applyFont="1" applyFill="1" applyBorder="1" applyAlignment="1">
      <alignment horizontal="center" vertical="center" wrapText="1"/>
    </xf>
    <xf numFmtId="43" fontId="19" fillId="2" borderId="3" xfId="1" applyNumberFormat="1" applyFont="1" applyFill="1" applyBorder="1" applyAlignment="1">
      <alignment horizontal="center" vertical="center" wrapText="1"/>
    </xf>
    <xf numFmtId="43" fontId="14" fillId="2" borderId="3" xfId="1" applyNumberFormat="1" applyFont="1" applyFill="1" applyBorder="1" applyAlignment="1">
      <alignment horizontal="center" vertical="center" wrapText="1"/>
    </xf>
    <xf numFmtId="0" fontId="12" fillId="2" borderId="3" xfId="1" applyFont="1" applyFill="1" applyBorder="1" applyAlignment="1">
      <alignment horizontal="center" vertical="center" wrapText="1"/>
    </xf>
    <xf numFmtId="0" fontId="9" fillId="2" borderId="3" xfId="1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3" fillId="2" borderId="15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" fillId="2" borderId="15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74806"/>
  </sheetPr>
  <dimension ref="A1:DF20"/>
  <sheetViews>
    <sheetView tabSelected="1" view="pageBreakPreview" topLeftCell="B1" zoomScale="30" zoomScaleNormal="98" zoomScaleSheetLayoutView="30" zoomScalePageLayoutView="30" workbookViewId="0">
      <selection activeCell="S34" sqref="S34"/>
    </sheetView>
  </sheetViews>
  <sheetFormatPr baseColWidth="10" defaultColWidth="12.6640625" defaultRowHeight="15.75" customHeight="1" x14ac:dyDescent="0.2"/>
  <cols>
    <col min="1" max="1" width="10.33203125" style="8" customWidth="1"/>
    <col min="2" max="2" width="61.1640625" style="8" customWidth="1"/>
    <col min="3" max="3" width="38.5" style="8" customWidth="1"/>
    <col min="4" max="4" width="16.6640625" style="8" customWidth="1"/>
    <col min="5" max="5" width="22.33203125" style="8" customWidth="1"/>
    <col min="6" max="6" width="15.83203125" style="8" customWidth="1"/>
    <col min="7" max="7" width="23.33203125" style="8" customWidth="1"/>
    <col min="8" max="9" width="9.5" style="8" customWidth="1"/>
    <col min="10" max="10" width="18.6640625" style="8" customWidth="1"/>
    <col min="11" max="13" width="25.1640625" style="8" customWidth="1"/>
    <col min="14" max="15" width="9.5" style="8" customWidth="1"/>
    <col min="16" max="16" width="18.83203125" style="8" customWidth="1"/>
    <col min="17" max="19" width="25.1640625" style="8" customWidth="1"/>
    <col min="20" max="21" width="9.5" style="8" customWidth="1"/>
    <col min="22" max="22" width="18.83203125" style="8" customWidth="1"/>
    <col min="23" max="23" width="25.1640625" style="8" customWidth="1"/>
    <col min="24" max="24" width="28.33203125" style="8" customWidth="1"/>
    <col min="25" max="25" width="28.1640625" style="8" customWidth="1"/>
    <col min="26" max="27" width="9.5" style="8" customWidth="1"/>
    <col min="28" max="28" width="18.83203125" style="8" customWidth="1"/>
    <col min="29" max="33" width="25.1640625" style="8" customWidth="1"/>
    <col min="34" max="35" width="9.5" style="8" customWidth="1"/>
    <col min="36" max="36" width="18.83203125" style="8" customWidth="1"/>
    <col min="37" max="39" width="25.1640625" style="8" customWidth="1"/>
    <col min="40" max="41" width="9.5" style="8" customWidth="1"/>
    <col min="42" max="42" width="18.83203125" style="8" customWidth="1"/>
    <col min="43" max="43" width="25.1640625" style="8" customWidth="1"/>
    <col min="44" max="45" width="9.5" style="8" customWidth="1"/>
    <col min="46" max="46" width="14.83203125" style="8" customWidth="1"/>
    <col min="47" max="47" width="19.1640625" style="8" customWidth="1"/>
    <col min="48" max="49" width="10.33203125" style="8" customWidth="1"/>
    <col min="50" max="50" width="13.1640625" style="8" customWidth="1"/>
    <col min="51" max="51" width="17.1640625" style="8" customWidth="1"/>
    <col min="52" max="53" width="9.5" style="8" customWidth="1"/>
    <col min="54" max="54" width="16.83203125" style="8" customWidth="1"/>
    <col min="55" max="55" width="25.1640625" style="8" customWidth="1"/>
    <col min="56" max="58" width="12.1640625" style="8" customWidth="1"/>
    <col min="59" max="59" width="20" style="8" customWidth="1"/>
    <col min="60" max="61" width="9.5" style="8" customWidth="1"/>
    <col min="62" max="62" width="15.6640625" style="8" customWidth="1"/>
    <col min="63" max="63" width="25.1640625" style="8" customWidth="1"/>
    <col min="64" max="65" width="13" style="8" customWidth="1"/>
    <col min="66" max="66" width="17.6640625" style="8" customWidth="1"/>
    <col min="67" max="67" width="24.1640625" style="8" customWidth="1"/>
    <col min="68" max="69" width="9.5" style="8" customWidth="1"/>
    <col min="70" max="70" width="18.83203125" style="8" customWidth="1"/>
    <col min="71" max="71" width="25.1640625" style="8" customWidth="1"/>
    <col min="72" max="73" width="10.83203125" style="8" customWidth="1"/>
    <col min="74" max="74" width="14.6640625" style="8" customWidth="1"/>
    <col min="75" max="75" width="19.5" style="8" customWidth="1"/>
    <col min="76" max="77" width="9.5" style="8" customWidth="1"/>
    <col min="78" max="78" width="18.83203125" style="8" customWidth="1"/>
    <col min="79" max="79" width="25.1640625" style="8" customWidth="1"/>
    <col min="80" max="81" width="11.1640625" style="8" customWidth="1"/>
    <col min="82" max="82" width="18.33203125" style="8" customWidth="1"/>
    <col min="83" max="83" width="24.6640625" style="8" customWidth="1"/>
    <col min="84" max="85" width="9.5" style="8" customWidth="1"/>
    <col min="86" max="86" width="18.83203125" style="8" customWidth="1"/>
    <col min="87" max="87" width="25.1640625" style="8" customWidth="1"/>
    <col min="88" max="89" width="13" style="8" customWidth="1"/>
    <col min="90" max="90" width="17.83203125" style="8" customWidth="1"/>
    <col min="91" max="91" width="27.33203125" style="8" customWidth="1"/>
    <col min="92" max="92" width="24.83203125" style="8" customWidth="1"/>
    <col min="93" max="93" width="36.33203125" style="8" customWidth="1"/>
    <col min="94" max="103" width="22.33203125" style="8" customWidth="1"/>
    <col min="104" max="104" width="26.6640625" style="8" customWidth="1"/>
    <col min="105" max="105" width="36.1640625" style="8" customWidth="1"/>
    <col min="106" max="106" width="35.83203125" style="8" customWidth="1"/>
    <col min="107" max="107" width="41.33203125" style="8" customWidth="1"/>
    <col min="108" max="108" width="19.83203125" style="8" customWidth="1"/>
    <col min="109" max="109" width="27.1640625" style="8" customWidth="1"/>
    <col min="110" max="110" width="9" style="8" customWidth="1"/>
    <col min="111" max="111" width="12.6640625" style="8" customWidth="1"/>
    <col min="112" max="16384" width="12.6640625" style="8"/>
  </cols>
  <sheetData>
    <row r="1" spans="1:110" ht="27" customHeight="1" x14ac:dyDescent="0.2">
      <c r="A1" s="4"/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7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7"/>
      <c r="DB1" s="6"/>
      <c r="DC1" s="6"/>
      <c r="DD1" s="4"/>
      <c r="DE1" s="4"/>
      <c r="DF1" s="4"/>
    </row>
    <row r="2" spans="1:110" ht="30" customHeight="1" x14ac:dyDescent="0.2">
      <c r="A2" s="9"/>
      <c r="B2" s="9"/>
      <c r="C2" s="9"/>
      <c r="D2" s="10" t="s">
        <v>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</row>
    <row r="3" spans="1:110" ht="30" customHeight="1" x14ac:dyDescent="0.2">
      <c r="A3" s="9"/>
      <c r="B3" s="9"/>
      <c r="C3" s="9"/>
      <c r="D3" s="10" t="s">
        <v>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</row>
    <row r="4" spans="1:110" ht="30" customHeight="1" x14ac:dyDescent="0.2">
      <c r="A4" s="9"/>
      <c r="B4" s="9"/>
      <c r="C4" s="9"/>
      <c r="D4" s="10" t="s">
        <v>2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</row>
    <row r="5" spans="1:110" ht="48" customHeight="1" x14ac:dyDescent="0.2">
      <c r="A5" s="9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3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3"/>
      <c r="DB5" s="12"/>
      <c r="DC5" s="12"/>
      <c r="DD5" s="14"/>
      <c r="DE5" s="9"/>
      <c r="DF5" s="9"/>
    </row>
    <row r="6" spans="1:110" ht="70" customHeight="1" x14ac:dyDescent="0.2">
      <c r="A6" s="15"/>
      <c r="B6" s="58" t="s">
        <v>3</v>
      </c>
      <c r="C6" s="58" t="s">
        <v>4</v>
      </c>
      <c r="D6" s="58" t="s">
        <v>5</v>
      </c>
      <c r="E6" s="58" t="s">
        <v>6</v>
      </c>
      <c r="F6" s="78" t="s">
        <v>7</v>
      </c>
      <c r="G6" s="67"/>
      <c r="H6" s="65" t="s">
        <v>8</v>
      </c>
      <c r="I6" s="66"/>
      <c r="J6" s="66"/>
      <c r="K6" s="67"/>
      <c r="L6" s="65" t="s">
        <v>9</v>
      </c>
      <c r="M6" s="67"/>
      <c r="N6" s="65" t="s">
        <v>10</v>
      </c>
      <c r="O6" s="66"/>
      <c r="P6" s="66"/>
      <c r="Q6" s="67"/>
      <c r="R6" s="65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2"/>
      <c r="AR6" s="65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2"/>
      <c r="CN6" s="78" t="s">
        <v>11</v>
      </c>
      <c r="CO6" s="77" t="s">
        <v>12</v>
      </c>
      <c r="CP6" s="74" t="s">
        <v>13</v>
      </c>
      <c r="CQ6" s="66"/>
      <c r="CR6" s="66"/>
      <c r="CS6" s="66"/>
      <c r="CT6" s="66"/>
      <c r="CU6" s="66"/>
      <c r="CV6" s="66"/>
      <c r="CW6" s="66"/>
      <c r="CX6" s="66"/>
      <c r="CY6" s="66"/>
      <c r="CZ6" s="67"/>
      <c r="DA6" s="77" t="s">
        <v>14</v>
      </c>
      <c r="DB6" s="76" t="s">
        <v>15</v>
      </c>
      <c r="DC6" s="72" t="s">
        <v>16</v>
      </c>
      <c r="DD6" s="15"/>
      <c r="DE6" s="15"/>
      <c r="DF6" s="15"/>
    </row>
    <row r="7" spans="1:110" ht="113" customHeight="1" x14ac:dyDescent="0.2">
      <c r="A7" s="15"/>
      <c r="B7" s="59"/>
      <c r="C7" s="59"/>
      <c r="D7" s="59"/>
      <c r="E7" s="59"/>
      <c r="F7" s="79"/>
      <c r="G7" s="80"/>
      <c r="H7" s="68"/>
      <c r="I7" s="69"/>
      <c r="J7" s="69"/>
      <c r="K7" s="70"/>
      <c r="L7" s="68"/>
      <c r="M7" s="70"/>
      <c r="N7" s="68"/>
      <c r="O7" s="69"/>
      <c r="P7" s="69"/>
      <c r="Q7" s="70"/>
      <c r="R7" s="71" t="s">
        <v>17</v>
      </c>
      <c r="S7" s="62"/>
      <c r="T7" s="63" t="s">
        <v>18</v>
      </c>
      <c r="U7" s="64"/>
      <c r="V7" s="64"/>
      <c r="W7" s="62"/>
      <c r="X7" s="71" t="s">
        <v>19</v>
      </c>
      <c r="Y7" s="62"/>
      <c r="Z7" s="63" t="s">
        <v>20</v>
      </c>
      <c r="AA7" s="64"/>
      <c r="AB7" s="64"/>
      <c r="AC7" s="62"/>
      <c r="AD7" s="71" t="s">
        <v>21</v>
      </c>
      <c r="AE7" s="62"/>
      <c r="AF7" s="71" t="s">
        <v>22</v>
      </c>
      <c r="AG7" s="62"/>
      <c r="AH7" s="63" t="s">
        <v>23</v>
      </c>
      <c r="AI7" s="64"/>
      <c r="AJ7" s="64"/>
      <c r="AK7" s="62"/>
      <c r="AL7" s="71" t="s">
        <v>24</v>
      </c>
      <c r="AM7" s="62"/>
      <c r="AN7" s="63" t="s">
        <v>25</v>
      </c>
      <c r="AO7" s="64"/>
      <c r="AP7" s="64"/>
      <c r="AQ7" s="62"/>
      <c r="AR7" s="71" t="s">
        <v>26</v>
      </c>
      <c r="AS7" s="66"/>
      <c r="AT7" s="66"/>
      <c r="AU7" s="67"/>
      <c r="AV7" s="63" t="s">
        <v>27</v>
      </c>
      <c r="AW7" s="66"/>
      <c r="AX7" s="66"/>
      <c r="AY7" s="67"/>
      <c r="AZ7" s="71" t="s">
        <v>28</v>
      </c>
      <c r="BA7" s="66"/>
      <c r="BB7" s="66"/>
      <c r="BC7" s="67"/>
      <c r="BD7" s="63" t="s">
        <v>29</v>
      </c>
      <c r="BE7" s="66"/>
      <c r="BF7" s="66"/>
      <c r="BG7" s="67"/>
      <c r="BH7" s="71" t="s">
        <v>30</v>
      </c>
      <c r="BI7" s="64"/>
      <c r="BJ7" s="64"/>
      <c r="BK7" s="62"/>
      <c r="BL7" s="63" t="s">
        <v>31</v>
      </c>
      <c r="BM7" s="64"/>
      <c r="BN7" s="64"/>
      <c r="BO7" s="62"/>
      <c r="BP7" s="71" t="s">
        <v>32</v>
      </c>
      <c r="BQ7" s="64"/>
      <c r="BR7" s="64"/>
      <c r="BS7" s="62"/>
      <c r="BT7" s="63" t="s">
        <v>33</v>
      </c>
      <c r="BU7" s="64"/>
      <c r="BV7" s="64"/>
      <c r="BW7" s="62"/>
      <c r="BX7" s="71" t="s">
        <v>34</v>
      </c>
      <c r="BY7" s="64"/>
      <c r="BZ7" s="64"/>
      <c r="CA7" s="62"/>
      <c r="CB7" s="63" t="s">
        <v>35</v>
      </c>
      <c r="CC7" s="64"/>
      <c r="CD7" s="64"/>
      <c r="CE7" s="62"/>
      <c r="CF7" s="71" t="s">
        <v>36</v>
      </c>
      <c r="CG7" s="64"/>
      <c r="CH7" s="64"/>
      <c r="CI7" s="62"/>
      <c r="CJ7" s="63" t="s">
        <v>37</v>
      </c>
      <c r="CK7" s="64"/>
      <c r="CL7" s="64"/>
      <c r="CM7" s="62"/>
      <c r="CN7" s="59"/>
      <c r="CO7" s="59"/>
      <c r="CP7" s="68"/>
      <c r="CQ7" s="69"/>
      <c r="CR7" s="69"/>
      <c r="CS7" s="69"/>
      <c r="CT7" s="69"/>
      <c r="CU7" s="69"/>
      <c r="CV7" s="69"/>
      <c r="CW7" s="69"/>
      <c r="CX7" s="69"/>
      <c r="CY7" s="69"/>
      <c r="CZ7" s="70"/>
      <c r="DA7" s="59"/>
      <c r="DB7" s="59"/>
      <c r="DC7" s="59"/>
      <c r="DD7" s="15"/>
      <c r="DE7" s="15"/>
      <c r="DF7" s="15"/>
    </row>
    <row r="8" spans="1:110" ht="22" customHeight="1" x14ac:dyDescent="0.2">
      <c r="A8" s="17"/>
      <c r="B8" s="59"/>
      <c r="C8" s="59"/>
      <c r="D8" s="59"/>
      <c r="E8" s="59"/>
      <c r="F8" s="68"/>
      <c r="G8" s="70"/>
      <c r="H8" s="18"/>
      <c r="I8" s="18"/>
      <c r="J8" s="18"/>
      <c r="K8" s="18"/>
      <c r="L8" s="18"/>
      <c r="M8" s="18"/>
      <c r="N8" s="18"/>
      <c r="O8" s="18"/>
      <c r="P8" s="18"/>
      <c r="Q8" s="18"/>
      <c r="R8" s="61" t="s">
        <v>38</v>
      </c>
      <c r="S8" s="62"/>
      <c r="T8" s="61" t="s">
        <v>38</v>
      </c>
      <c r="U8" s="64"/>
      <c r="V8" s="64"/>
      <c r="W8" s="62"/>
      <c r="X8" s="61" t="s">
        <v>38</v>
      </c>
      <c r="Y8" s="62"/>
      <c r="Z8" s="61" t="s">
        <v>38</v>
      </c>
      <c r="AA8" s="64"/>
      <c r="AB8" s="64"/>
      <c r="AC8" s="62"/>
      <c r="AD8" s="61" t="s">
        <v>38</v>
      </c>
      <c r="AE8" s="62"/>
      <c r="AF8" s="61" t="s">
        <v>38</v>
      </c>
      <c r="AG8" s="62"/>
      <c r="AH8" s="61" t="s">
        <v>38</v>
      </c>
      <c r="AI8" s="64"/>
      <c r="AJ8" s="64"/>
      <c r="AK8" s="62"/>
      <c r="AL8" s="61" t="s">
        <v>38</v>
      </c>
      <c r="AM8" s="62"/>
      <c r="AN8" s="61" t="s">
        <v>38</v>
      </c>
      <c r="AO8" s="64"/>
      <c r="AP8" s="64"/>
      <c r="AQ8" s="62"/>
      <c r="AR8" s="68"/>
      <c r="AS8" s="69"/>
      <c r="AT8" s="69"/>
      <c r="AU8" s="70"/>
      <c r="AV8" s="68"/>
      <c r="AW8" s="69"/>
      <c r="AX8" s="69"/>
      <c r="AY8" s="70"/>
      <c r="AZ8" s="68"/>
      <c r="BA8" s="69"/>
      <c r="BB8" s="69"/>
      <c r="BC8" s="70"/>
      <c r="BD8" s="68"/>
      <c r="BE8" s="69"/>
      <c r="BF8" s="69"/>
      <c r="BG8" s="70"/>
      <c r="BH8" s="61" t="s">
        <v>38</v>
      </c>
      <c r="BI8" s="64"/>
      <c r="BJ8" s="64"/>
      <c r="BK8" s="62"/>
      <c r="BL8" s="61" t="s">
        <v>38</v>
      </c>
      <c r="BM8" s="64"/>
      <c r="BN8" s="64"/>
      <c r="BO8" s="62"/>
      <c r="BP8" s="61" t="s">
        <v>38</v>
      </c>
      <c r="BQ8" s="64"/>
      <c r="BR8" s="64"/>
      <c r="BS8" s="62"/>
      <c r="BT8" s="61" t="s">
        <v>38</v>
      </c>
      <c r="BU8" s="64"/>
      <c r="BV8" s="64"/>
      <c r="BW8" s="62"/>
      <c r="BX8" s="61" t="s">
        <v>38</v>
      </c>
      <c r="BY8" s="64"/>
      <c r="BZ8" s="64"/>
      <c r="CA8" s="62"/>
      <c r="CB8" s="61" t="s">
        <v>38</v>
      </c>
      <c r="CC8" s="64"/>
      <c r="CD8" s="64"/>
      <c r="CE8" s="62"/>
      <c r="CF8" s="61" t="s">
        <v>38</v>
      </c>
      <c r="CG8" s="64"/>
      <c r="CH8" s="64"/>
      <c r="CI8" s="62"/>
      <c r="CJ8" s="61" t="s">
        <v>38</v>
      </c>
      <c r="CK8" s="64"/>
      <c r="CL8" s="64"/>
      <c r="CM8" s="62"/>
      <c r="CN8" s="59"/>
      <c r="CO8" s="59"/>
      <c r="CP8" s="75" t="s">
        <v>39</v>
      </c>
      <c r="CQ8" s="64"/>
      <c r="CR8" s="64"/>
      <c r="CS8" s="64"/>
      <c r="CT8" s="62"/>
      <c r="CU8" s="75" t="s">
        <v>0</v>
      </c>
      <c r="CV8" s="64"/>
      <c r="CW8" s="64"/>
      <c r="CX8" s="64"/>
      <c r="CY8" s="64"/>
      <c r="CZ8" s="62"/>
      <c r="DA8" s="59"/>
      <c r="DB8" s="59"/>
      <c r="DC8" s="59"/>
      <c r="DD8" s="17"/>
      <c r="DE8" s="17"/>
      <c r="DF8" s="17"/>
    </row>
    <row r="9" spans="1:110" ht="78" customHeight="1" x14ac:dyDescent="0.2">
      <c r="A9" s="19"/>
      <c r="B9" s="60"/>
      <c r="C9" s="60"/>
      <c r="D9" s="60"/>
      <c r="E9" s="60"/>
      <c r="F9" s="20" t="s">
        <v>40</v>
      </c>
      <c r="G9" s="20" t="s">
        <v>41</v>
      </c>
      <c r="H9" s="21" t="s">
        <v>42</v>
      </c>
      <c r="I9" s="21" t="s">
        <v>43</v>
      </c>
      <c r="J9" s="21" t="s">
        <v>44</v>
      </c>
      <c r="K9" s="22"/>
      <c r="L9" s="21" t="s">
        <v>42</v>
      </c>
      <c r="M9" s="22"/>
      <c r="N9" s="21" t="s">
        <v>42</v>
      </c>
      <c r="O9" s="21" t="s">
        <v>43</v>
      </c>
      <c r="P9" s="21" t="s">
        <v>44</v>
      </c>
      <c r="Q9" s="22"/>
      <c r="R9" s="21" t="s">
        <v>42</v>
      </c>
      <c r="S9" s="22"/>
      <c r="T9" s="23" t="s">
        <v>42</v>
      </c>
      <c r="U9" s="23" t="s">
        <v>43</v>
      </c>
      <c r="V9" s="23" t="s">
        <v>44</v>
      </c>
      <c r="W9" s="22"/>
      <c r="X9" s="21" t="s">
        <v>42</v>
      </c>
      <c r="Y9" s="22"/>
      <c r="Z9" s="23" t="s">
        <v>42</v>
      </c>
      <c r="AA9" s="23" t="s">
        <v>43</v>
      </c>
      <c r="AB9" s="23" t="s">
        <v>44</v>
      </c>
      <c r="AC9" s="22"/>
      <c r="AD9" s="21" t="s">
        <v>42</v>
      </c>
      <c r="AE9" s="22"/>
      <c r="AF9" s="21" t="s">
        <v>42</v>
      </c>
      <c r="AG9" s="22"/>
      <c r="AH9" s="23" t="s">
        <v>42</v>
      </c>
      <c r="AI9" s="23" t="s">
        <v>43</v>
      </c>
      <c r="AJ9" s="23" t="s">
        <v>44</v>
      </c>
      <c r="AK9" s="22"/>
      <c r="AL9" s="21" t="s">
        <v>42</v>
      </c>
      <c r="AM9" s="22"/>
      <c r="AN9" s="23" t="s">
        <v>42</v>
      </c>
      <c r="AO9" s="23" t="s">
        <v>43</v>
      </c>
      <c r="AP9" s="23" t="s">
        <v>44</v>
      </c>
      <c r="AQ9" s="22"/>
      <c r="AR9" s="21" t="s">
        <v>42</v>
      </c>
      <c r="AS9" s="21" t="s">
        <v>43</v>
      </c>
      <c r="AT9" s="21" t="s">
        <v>44</v>
      </c>
      <c r="AU9" s="22"/>
      <c r="AV9" s="21" t="s">
        <v>42</v>
      </c>
      <c r="AW9" s="21" t="s">
        <v>43</v>
      </c>
      <c r="AX9" s="21" t="s">
        <v>44</v>
      </c>
      <c r="AY9" s="21"/>
      <c r="AZ9" s="21" t="s">
        <v>42</v>
      </c>
      <c r="BA9" s="21" t="s">
        <v>43</v>
      </c>
      <c r="BB9" s="21" t="s">
        <v>44</v>
      </c>
      <c r="BC9" s="22"/>
      <c r="BD9" s="24" t="s">
        <v>42</v>
      </c>
      <c r="BE9" s="24" t="s">
        <v>43</v>
      </c>
      <c r="BF9" s="24" t="s">
        <v>44</v>
      </c>
      <c r="BG9" s="22"/>
      <c r="BH9" s="21" t="s">
        <v>42</v>
      </c>
      <c r="BI9" s="21" t="s">
        <v>43</v>
      </c>
      <c r="BJ9" s="21" t="s">
        <v>44</v>
      </c>
      <c r="BK9" s="22"/>
      <c r="BL9" s="24" t="s">
        <v>42</v>
      </c>
      <c r="BM9" s="24" t="s">
        <v>43</v>
      </c>
      <c r="BN9" s="24" t="s">
        <v>44</v>
      </c>
      <c r="BO9" s="24"/>
      <c r="BP9" s="21" t="s">
        <v>42</v>
      </c>
      <c r="BQ9" s="21" t="s">
        <v>43</v>
      </c>
      <c r="BR9" s="21" t="s">
        <v>44</v>
      </c>
      <c r="BS9" s="22"/>
      <c r="BT9" s="21" t="s">
        <v>42</v>
      </c>
      <c r="BU9" s="21" t="s">
        <v>43</v>
      </c>
      <c r="BV9" s="21" t="s">
        <v>44</v>
      </c>
      <c r="BW9" s="22"/>
      <c r="BX9" s="21" t="s">
        <v>42</v>
      </c>
      <c r="BY9" s="21" t="s">
        <v>43</v>
      </c>
      <c r="BZ9" s="21" t="s">
        <v>44</v>
      </c>
      <c r="CA9" s="22"/>
      <c r="CB9" s="21" t="s">
        <v>42</v>
      </c>
      <c r="CC9" s="21" t="s">
        <v>43</v>
      </c>
      <c r="CD9" s="21" t="s">
        <v>44</v>
      </c>
      <c r="CE9" s="22"/>
      <c r="CF9" s="21" t="s">
        <v>42</v>
      </c>
      <c r="CG9" s="21" t="s">
        <v>43</v>
      </c>
      <c r="CH9" s="21" t="s">
        <v>44</v>
      </c>
      <c r="CI9" s="22"/>
      <c r="CJ9" s="21" t="s">
        <v>42</v>
      </c>
      <c r="CK9" s="21" t="s">
        <v>43</v>
      </c>
      <c r="CL9" s="21" t="s">
        <v>44</v>
      </c>
      <c r="CM9" s="22"/>
      <c r="CN9" s="60"/>
      <c r="CO9" s="60"/>
      <c r="CP9" s="21" t="s">
        <v>45</v>
      </c>
      <c r="CQ9" s="21" t="s">
        <v>46</v>
      </c>
      <c r="CR9" s="21" t="s">
        <v>47</v>
      </c>
      <c r="CS9" s="21" t="s">
        <v>48</v>
      </c>
      <c r="CT9" s="21" t="s">
        <v>49</v>
      </c>
      <c r="CU9" s="21" t="s">
        <v>50</v>
      </c>
      <c r="CV9" s="21" t="s">
        <v>51</v>
      </c>
      <c r="CW9" s="21" t="s">
        <v>52</v>
      </c>
      <c r="CX9" s="21" t="s">
        <v>53</v>
      </c>
      <c r="CY9" s="21" t="s">
        <v>54</v>
      </c>
      <c r="CZ9" s="21" t="s">
        <v>55</v>
      </c>
      <c r="DA9" s="60"/>
      <c r="DB9" s="60"/>
      <c r="DC9" s="60"/>
      <c r="DD9" s="19"/>
      <c r="DE9" s="19"/>
      <c r="DF9" s="19"/>
    </row>
    <row r="10" spans="1:110" ht="51" customHeight="1" x14ac:dyDescent="0.2">
      <c r="A10" s="25"/>
      <c r="B10" s="26">
        <v>1</v>
      </c>
      <c r="C10" s="27" t="s">
        <v>56</v>
      </c>
      <c r="D10" s="27">
        <v>1</v>
      </c>
      <c r="E10" s="28">
        <v>600</v>
      </c>
      <c r="F10" s="28"/>
      <c r="G10" s="28">
        <f>F10*D10</f>
        <v>0</v>
      </c>
      <c r="H10" s="27">
        <v>2</v>
      </c>
      <c r="I10" s="27">
        <v>0</v>
      </c>
      <c r="J10" s="28">
        <f>(H10 + (I10 / 60))</f>
        <v>2</v>
      </c>
      <c r="K10" s="29">
        <f>((E10/8)*1.25)*J10</f>
        <v>187.5</v>
      </c>
      <c r="L10" s="27">
        <v>8</v>
      </c>
      <c r="M10" s="29">
        <f>((E10/8)*0.3)*L10</f>
        <v>180</v>
      </c>
      <c r="N10" s="27">
        <v>2</v>
      </c>
      <c r="O10" s="27">
        <v>0</v>
      </c>
      <c r="P10" s="28">
        <f>N10+(O10/60)</f>
        <v>2</v>
      </c>
      <c r="Q10" s="29">
        <f>(((E10+M10)/8)*1.3)*P10</f>
        <v>253.5</v>
      </c>
      <c r="R10" s="28">
        <v>8</v>
      </c>
      <c r="S10" s="29">
        <f>((E10/8)*0.3)*R10</f>
        <v>180</v>
      </c>
      <c r="T10" s="27">
        <v>2</v>
      </c>
      <c r="U10" s="27">
        <v>0</v>
      </c>
      <c r="V10" s="28">
        <f>T10+(U10/60)</f>
        <v>2</v>
      </c>
      <c r="W10" s="29">
        <f>(((E10+S10)/8)*1.3)*V10</f>
        <v>253.5</v>
      </c>
      <c r="X10" s="28">
        <v>8</v>
      </c>
      <c r="Y10" s="29">
        <f>((E10/8)*0.5)*X10</f>
        <v>300</v>
      </c>
      <c r="Z10" s="27">
        <v>2</v>
      </c>
      <c r="AA10" s="27">
        <v>0</v>
      </c>
      <c r="AB10" s="28">
        <f>Z10+(AA10/60)</f>
        <v>2</v>
      </c>
      <c r="AC10" s="29">
        <f>(((E10+Y10)/8)*1.3)*AB10</f>
        <v>292.5</v>
      </c>
      <c r="AD10" s="28">
        <v>8</v>
      </c>
      <c r="AE10" s="29">
        <f>((E10/8)*1)*8</f>
        <v>600</v>
      </c>
      <c r="AF10" s="28">
        <v>8</v>
      </c>
      <c r="AG10" s="29">
        <f>((E10/8)*1)*AF10</f>
        <v>600</v>
      </c>
      <c r="AH10" s="27">
        <v>2</v>
      </c>
      <c r="AI10" s="27">
        <v>0</v>
      </c>
      <c r="AJ10" s="28">
        <f>AH10+(AI10/60)</f>
        <v>2</v>
      </c>
      <c r="AK10" s="29">
        <f>(((E10+AG10)/8)*1.3)*AJ10</f>
        <v>390</v>
      </c>
      <c r="AL10" s="28">
        <v>8</v>
      </c>
      <c r="AM10" s="29">
        <f>((E10/8)*1.6)*AL10</f>
        <v>960</v>
      </c>
      <c r="AN10" s="27">
        <v>2</v>
      </c>
      <c r="AO10" s="27">
        <v>0</v>
      </c>
      <c r="AP10" s="28">
        <f>AN10+(AO10/60)</f>
        <v>2</v>
      </c>
      <c r="AQ10" s="29">
        <f>(((E10+AM10)/8)*1.3)*AP10</f>
        <v>507</v>
      </c>
      <c r="AR10" s="27">
        <v>8</v>
      </c>
      <c r="AS10" s="27">
        <v>0</v>
      </c>
      <c r="AT10" s="28">
        <f>AR10+(AS10/60)</f>
        <v>8</v>
      </c>
      <c r="AU10" s="29">
        <f>((E10/8)*0.1)*AT10</f>
        <v>60</v>
      </c>
      <c r="AV10" s="27">
        <v>8</v>
      </c>
      <c r="AW10" s="27">
        <v>0</v>
      </c>
      <c r="AX10" s="28">
        <f>AV10+(AW10/60)</f>
        <v>8</v>
      </c>
      <c r="AY10" s="29">
        <f>(((E10/8)*1.25)*0.1)*AX10</f>
        <v>75</v>
      </c>
      <c r="AZ10" s="27">
        <v>8</v>
      </c>
      <c r="BA10" s="27"/>
      <c r="BB10" s="28">
        <f>AZ10+(BA10/60)</f>
        <v>8</v>
      </c>
      <c r="BC10" s="29">
        <f>((E10/8)*1.3*0.1)*BB10</f>
        <v>78</v>
      </c>
      <c r="BD10" s="30">
        <v>8</v>
      </c>
      <c r="BE10" s="29"/>
      <c r="BF10" s="28">
        <f>BD10+(BE10/60)</f>
        <v>8</v>
      </c>
      <c r="BG10" s="29">
        <f>(((E10/8)*1.3*1.3)*0.1)*BF10</f>
        <v>101.4</v>
      </c>
      <c r="BH10" s="27">
        <v>8</v>
      </c>
      <c r="BI10" s="27"/>
      <c r="BJ10" s="28">
        <f>BH10+(BI10/60)</f>
        <v>8</v>
      </c>
      <c r="BK10" s="29">
        <f>((E10/8)*1.3*0.1)*BJ10</f>
        <v>78</v>
      </c>
      <c r="BL10" s="30">
        <v>8</v>
      </c>
      <c r="BM10" s="29"/>
      <c r="BN10" s="28">
        <f>BL10+(BM10/60)</f>
        <v>8</v>
      </c>
      <c r="BO10" s="29">
        <f>(((E10/8)*1.3*1.3)*0.1)*BN10</f>
        <v>101.4</v>
      </c>
      <c r="BP10" s="27">
        <v>8</v>
      </c>
      <c r="BQ10" s="27"/>
      <c r="BR10" s="28">
        <f>BP10+(BQ10/60)</f>
        <v>8</v>
      </c>
      <c r="BS10" s="29">
        <f>((E10/8)*1.5*0.1)*BR10</f>
        <v>90</v>
      </c>
      <c r="BT10" s="27">
        <v>8</v>
      </c>
      <c r="BU10" s="27"/>
      <c r="BV10" s="28">
        <f>BT10+(BU10/60)</f>
        <v>8</v>
      </c>
      <c r="BW10" s="29">
        <f>(((E10/8)*1.5*1.3)*0.1)*BV10</f>
        <v>117</v>
      </c>
      <c r="BX10" s="27">
        <v>8</v>
      </c>
      <c r="BY10" s="27"/>
      <c r="BZ10" s="28">
        <f>BX10+(BY10/60)</f>
        <v>8</v>
      </c>
      <c r="CA10" s="29">
        <f>((E10/8)*2*0.1)*BZ10</f>
        <v>120</v>
      </c>
      <c r="CB10" s="27">
        <v>8</v>
      </c>
      <c r="CC10" s="27"/>
      <c r="CD10" s="28">
        <f>CB10+(CC10/60)</f>
        <v>8</v>
      </c>
      <c r="CE10" s="29">
        <f>(((E10/8)*2*1.3)*0.1)*CD10</f>
        <v>156</v>
      </c>
      <c r="CF10" s="27">
        <v>8</v>
      </c>
      <c r="CG10" s="27"/>
      <c r="CH10" s="28">
        <f>CF10+(CG10/60)</f>
        <v>8</v>
      </c>
      <c r="CI10" s="29">
        <f>((E10/8)*2.6*0.1)*CH10</f>
        <v>156</v>
      </c>
      <c r="CJ10" s="27">
        <v>8</v>
      </c>
      <c r="CK10" s="27"/>
      <c r="CL10" s="28">
        <f>CJ10+(CK10/60)</f>
        <v>8</v>
      </c>
      <c r="CM10" s="29">
        <f>(((E10/8)*2.6*1.3)*0.1)*CL10</f>
        <v>202.8</v>
      </c>
      <c r="CN10" s="27">
        <v>454.5</v>
      </c>
      <c r="CO10" s="31">
        <f>(D10*E10)+(G10)+(K10+M10+Q10+S10+W10+Y10+AC10+AE10+AG10+AK10+AM10+AQ10+AU10+BC10+BK10+BS10+CA10+CI10+CN10)</f>
        <v>6340.5</v>
      </c>
      <c r="CP10" s="28"/>
      <c r="CQ10" s="28">
        <v>1150</v>
      </c>
      <c r="CR10" s="28">
        <v>200</v>
      </c>
      <c r="CS10" s="28"/>
      <c r="CT10" s="28"/>
      <c r="CU10" s="28"/>
      <c r="CV10" s="32"/>
      <c r="CW10" s="28"/>
      <c r="CX10" s="28"/>
      <c r="CY10" s="28"/>
      <c r="CZ10" s="28"/>
      <c r="DA10" s="33">
        <f>SUM(CP10:CT10)+ SUM(CU10:CZ10)</f>
        <v>1350</v>
      </c>
      <c r="DB10" s="34">
        <f>CO10-DA10</f>
        <v>4990.5</v>
      </c>
      <c r="DC10" s="35"/>
      <c r="DD10" s="25"/>
      <c r="DE10" s="25"/>
      <c r="DF10" s="25"/>
    </row>
    <row r="11" spans="1:110" ht="51" customHeight="1" x14ac:dyDescent="0.2">
      <c r="A11" s="25"/>
      <c r="B11" s="26">
        <v>2</v>
      </c>
      <c r="C11" s="27" t="s">
        <v>57</v>
      </c>
      <c r="D11" s="27"/>
      <c r="E11" s="28"/>
      <c r="F11" s="28"/>
      <c r="G11" s="28"/>
      <c r="H11" s="27"/>
      <c r="I11" s="27"/>
      <c r="J11" s="28"/>
      <c r="K11" s="29"/>
      <c r="L11" s="27"/>
      <c r="M11" s="29"/>
      <c r="N11" s="27"/>
      <c r="O11" s="27"/>
      <c r="P11" s="28"/>
      <c r="Q11" s="29"/>
      <c r="R11" s="28"/>
      <c r="S11" s="29"/>
      <c r="T11" s="27"/>
      <c r="U11" s="27"/>
      <c r="V11" s="28"/>
      <c r="W11" s="29"/>
      <c r="X11" s="28"/>
      <c r="Y11" s="29"/>
      <c r="Z11" s="27"/>
      <c r="AA11" s="27"/>
      <c r="AB11" s="28"/>
      <c r="AC11" s="29"/>
      <c r="AD11" s="28"/>
      <c r="AE11" s="29"/>
      <c r="AF11" s="28"/>
      <c r="AG11" s="29"/>
      <c r="AH11" s="27"/>
      <c r="AI11" s="27"/>
      <c r="AJ11" s="28"/>
      <c r="AK11" s="29"/>
      <c r="AL11" s="28"/>
      <c r="AM11" s="29"/>
      <c r="AN11" s="27"/>
      <c r="AO11" s="27"/>
      <c r="AP11" s="28"/>
      <c r="AQ11" s="29"/>
      <c r="AR11" s="27"/>
      <c r="AS11" s="27"/>
      <c r="AT11" s="28"/>
      <c r="AU11" s="29"/>
      <c r="AV11" s="27"/>
      <c r="AW11" s="27"/>
      <c r="AX11" s="27"/>
      <c r="AY11" s="27"/>
      <c r="AZ11" s="27"/>
      <c r="BA11" s="27"/>
      <c r="BB11" s="28"/>
      <c r="BC11" s="29"/>
      <c r="BD11" s="29"/>
      <c r="BE11" s="29"/>
      <c r="BF11" s="29"/>
      <c r="BG11" s="29"/>
      <c r="BH11" s="27"/>
      <c r="BI11" s="27"/>
      <c r="BJ11" s="28"/>
      <c r="BK11" s="29"/>
      <c r="BL11" s="29"/>
      <c r="BM11" s="29"/>
      <c r="BN11" s="29"/>
      <c r="BO11" s="29"/>
      <c r="BP11" s="27"/>
      <c r="BQ11" s="27"/>
      <c r="BR11" s="28"/>
      <c r="BS11" s="29"/>
      <c r="BT11" s="29"/>
      <c r="BU11" s="29"/>
      <c r="BV11" s="29"/>
      <c r="BW11" s="29"/>
      <c r="BX11" s="27"/>
      <c r="BY11" s="27"/>
      <c r="BZ11" s="28"/>
      <c r="CA11" s="29"/>
      <c r="CB11" s="29"/>
      <c r="CC11" s="29"/>
      <c r="CD11" s="29"/>
      <c r="CE11" s="29"/>
      <c r="CF11" s="27"/>
      <c r="CG11" s="27"/>
      <c r="CH11" s="28"/>
      <c r="CI11" s="29"/>
      <c r="CJ11" s="29"/>
      <c r="CK11" s="29"/>
      <c r="CL11" s="29"/>
      <c r="CM11" s="29"/>
      <c r="CN11" s="27"/>
      <c r="CO11" s="31"/>
      <c r="CP11" s="28"/>
      <c r="CQ11" s="28"/>
      <c r="CR11" s="28"/>
      <c r="CS11" s="28"/>
      <c r="CT11" s="28"/>
      <c r="CU11" s="28"/>
      <c r="CV11" s="32"/>
      <c r="CW11" s="28"/>
      <c r="CX11" s="28"/>
      <c r="CY11" s="28"/>
      <c r="CZ11" s="28"/>
      <c r="DA11" s="33"/>
      <c r="DB11" s="34"/>
      <c r="DC11" s="35"/>
      <c r="DD11" s="25"/>
      <c r="DE11" s="25"/>
      <c r="DF11" s="25"/>
    </row>
    <row r="12" spans="1:110" ht="51" customHeight="1" x14ac:dyDescent="0.2">
      <c r="A12" s="25"/>
      <c r="B12" s="26">
        <v>3</v>
      </c>
      <c r="C12" s="27" t="s">
        <v>58</v>
      </c>
      <c r="D12" s="27"/>
      <c r="E12" s="28"/>
      <c r="F12" s="28"/>
      <c r="G12" s="28"/>
      <c r="H12" s="27"/>
      <c r="I12" s="27"/>
      <c r="J12" s="28"/>
      <c r="K12" s="29"/>
      <c r="L12" s="27"/>
      <c r="M12" s="29"/>
      <c r="N12" s="27"/>
      <c r="O12" s="27"/>
      <c r="P12" s="28"/>
      <c r="Q12" s="29"/>
      <c r="R12" s="28"/>
      <c r="S12" s="29"/>
      <c r="T12" s="27"/>
      <c r="U12" s="27"/>
      <c r="V12" s="28"/>
      <c r="W12" s="29"/>
      <c r="X12" s="28"/>
      <c r="Y12" s="29"/>
      <c r="Z12" s="27"/>
      <c r="AA12" s="27"/>
      <c r="AB12" s="28"/>
      <c r="AC12" s="29"/>
      <c r="AD12" s="28"/>
      <c r="AE12" s="29"/>
      <c r="AF12" s="28"/>
      <c r="AG12" s="29"/>
      <c r="AH12" s="27"/>
      <c r="AI12" s="27"/>
      <c r="AJ12" s="28"/>
      <c r="AK12" s="29"/>
      <c r="AL12" s="28"/>
      <c r="AM12" s="29"/>
      <c r="AN12" s="27"/>
      <c r="AO12" s="27"/>
      <c r="AP12" s="28"/>
      <c r="AQ12" s="29"/>
      <c r="AR12" s="27"/>
      <c r="AS12" s="27"/>
      <c r="AT12" s="28"/>
      <c r="AU12" s="29"/>
      <c r="AV12" s="27"/>
      <c r="AW12" s="27"/>
      <c r="AX12" s="27"/>
      <c r="AY12" s="27"/>
      <c r="AZ12" s="27"/>
      <c r="BA12" s="27"/>
      <c r="BB12" s="28"/>
      <c r="BC12" s="29"/>
      <c r="BD12" s="29"/>
      <c r="BE12" s="29"/>
      <c r="BF12" s="29"/>
      <c r="BG12" s="29"/>
      <c r="BH12" s="27"/>
      <c r="BI12" s="27"/>
      <c r="BJ12" s="28"/>
      <c r="BK12" s="29"/>
      <c r="BL12" s="29"/>
      <c r="BM12" s="29"/>
      <c r="BN12" s="29"/>
      <c r="BO12" s="29"/>
      <c r="BP12" s="27"/>
      <c r="BQ12" s="27"/>
      <c r="BR12" s="28"/>
      <c r="BS12" s="29"/>
      <c r="BT12" s="29"/>
      <c r="BU12" s="29"/>
      <c r="BV12" s="29"/>
      <c r="BW12" s="29"/>
      <c r="BX12" s="27"/>
      <c r="BY12" s="27"/>
      <c r="BZ12" s="28"/>
      <c r="CA12" s="29"/>
      <c r="CB12" s="29"/>
      <c r="CC12" s="29"/>
      <c r="CD12" s="29"/>
      <c r="CE12" s="29"/>
      <c r="CF12" s="27"/>
      <c r="CG12" s="27"/>
      <c r="CH12" s="28"/>
      <c r="CI12" s="29"/>
      <c r="CJ12" s="29"/>
      <c r="CK12" s="29"/>
      <c r="CL12" s="29"/>
      <c r="CM12" s="29"/>
      <c r="CN12" s="27"/>
      <c r="CO12" s="31"/>
      <c r="CP12" s="28"/>
      <c r="CQ12" s="28"/>
      <c r="CR12" s="28"/>
      <c r="CS12" s="28"/>
      <c r="CT12" s="28"/>
      <c r="CU12" s="28"/>
      <c r="CV12" s="32"/>
      <c r="CW12" s="28"/>
      <c r="CX12" s="28"/>
      <c r="CY12" s="28"/>
      <c r="CZ12" s="28"/>
      <c r="DA12" s="33"/>
      <c r="DB12" s="34"/>
      <c r="DC12" s="35"/>
      <c r="DD12" s="25"/>
      <c r="DE12" s="25"/>
      <c r="DF12" s="25"/>
    </row>
    <row r="13" spans="1:110" ht="51" customHeight="1" x14ac:dyDescent="0.2">
      <c r="A13" s="25"/>
      <c r="B13" s="26">
        <v>4</v>
      </c>
      <c r="C13" s="27" t="s">
        <v>59</v>
      </c>
      <c r="D13" s="27"/>
      <c r="E13" s="28"/>
      <c r="F13" s="28"/>
      <c r="G13" s="28"/>
      <c r="H13" s="27"/>
      <c r="I13" s="27"/>
      <c r="J13" s="28"/>
      <c r="K13" s="29"/>
      <c r="L13" s="27"/>
      <c r="M13" s="29"/>
      <c r="N13" s="27"/>
      <c r="O13" s="27"/>
      <c r="P13" s="28"/>
      <c r="Q13" s="29"/>
      <c r="R13" s="28"/>
      <c r="S13" s="29"/>
      <c r="T13" s="27"/>
      <c r="U13" s="27"/>
      <c r="V13" s="28"/>
      <c r="W13" s="29"/>
      <c r="X13" s="28"/>
      <c r="Y13" s="29"/>
      <c r="Z13" s="27"/>
      <c r="AA13" s="27"/>
      <c r="AB13" s="28"/>
      <c r="AC13" s="29"/>
      <c r="AD13" s="28"/>
      <c r="AE13" s="29"/>
      <c r="AF13" s="28"/>
      <c r="AG13" s="29"/>
      <c r="AH13" s="27"/>
      <c r="AI13" s="27"/>
      <c r="AJ13" s="28"/>
      <c r="AK13" s="29"/>
      <c r="AL13" s="28"/>
      <c r="AM13" s="29"/>
      <c r="AN13" s="27"/>
      <c r="AO13" s="27"/>
      <c r="AP13" s="28"/>
      <c r="AQ13" s="29"/>
      <c r="AR13" s="27"/>
      <c r="AS13" s="27"/>
      <c r="AT13" s="28"/>
      <c r="AU13" s="29"/>
      <c r="AV13" s="27"/>
      <c r="AW13" s="27"/>
      <c r="AX13" s="27"/>
      <c r="AY13" s="27"/>
      <c r="AZ13" s="27"/>
      <c r="BA13" s="27"/>
      <c r="BB13" s="28"/>
      <c r="BC13" s="29"/>
      <c r="BD13" s="29"/>
      <c r="BE13" s="29"/>
      <c r="BF13" s="29"/>
      <c r="BG13" s="29"/>
      <c r="BH13" s="27"/>
      <c r="BI13" s="27"/>
      <c r="BJ13" s="28"/>
      <c r="BK13" s="29"/>
      <c r="BL13" s="29"/>
      <c r="BM13" s="29"/>
      <c r="BN13" s="29"/>
      <c r="BO13" s="29"/>
      <c r="BP13" s="27"/>
      <c r="BQ13" s="27"/>
      <c r="BR13" s="28"/>
      <c r="BS13" s="29"/>
      <c r="BT13" s="29"/>
      <c r="BU13" s="29"/>
      <c r="BV13" s="29"/>
      <c r="BW13" s="29"/>
      <c r="BX13" s="27"/>
      <c r="BY13" s="27"/>
      <c r="BZ13" s="28"/>
      <c r="CA13" s="29"/>
      <c r="CB13" s="29"/>
      <c r="CC13" s="29"/>
      <c r="CD13" s="29"/>
      <c r="CE13" s="29"/>
      <c r="CF13" s="27"/>
      <c r="CG13" s="27"/>
      <c r="CH13" s="28"/>
      <c r="CI13" s="29"/>
      <c r="CJ13" s="29"/>
      <c r="CK13" s="29"/>
      <c r="CL13" s="29"/>
      <c r="CM13" s="29"/>
      <c r="CN13" s="27"/>
      <c r="CO13" s="31"/>
      <c r="CP13" s="28"/>
      <c r="CQ13" s="28"/>
      <c r="CR13" s="28"/>
      <c r="CS13" s="28"/>
      <c r="CT13" s="28"/>
      <c r="CU13" s="28"/>
      <c r="CV13" s="32"/>
      <c r="CW13" s="28"/>
      <c r="CX13" s="28"/>
      <c r="CY13" s="28"/>
      <c r="CZ13" s="28"/>
      <c r="DA13" s="33"/>
      <c r="DB13" s="34"/>
      <c r="DC13" s="35"/>
      <c r="DD13" s="25"/>
      <c r="DE13" s="25"/>
      <c r="DF13" s="25"/>
    </row>
    <row r="14" spans="1:110" ht="49.5" customHeight="1" x14ac:dyDescent="0.2">
      <c r="A14" s="25"/>
      <c r="B14" s="26"/>
      <c r="C14" s="27"/>
      <c r="D14" s="27"/>
      <c r="E14" s="28"/>
      <c r="F14" s="28"/>
      <c r="G14" s="28"/>
      <c r="H14" s="27"/>
      <c r="I14" s="27"/>
      <c r="J14" s="28"/>
      <c r="K14" s="29"/>
      <c r="L14" s="27"/>
      <c r="M14" s="29"/>
      <c r="N14" s="27"/>
      <c r="O14" s="27"/>
      <c r="P14" s="28"/>
      <c r="Q14" s="29"/>
      <c r="R14" s="28"/>
      <c r="S14" s="29"/>
      <c r="T14" s="27"/>
      <c r="U14" s="27"/>
      <c r="V14" s="28"/>
      <c r="W14" s="29"/>
      <c r="X14" s="28"/>
      <c r="Y14" s="29"/>
      <c r="Z14" s="28"/>
      <c r="AA14" s="28"/>
      <c r="AB14" s="28"/>
      <c r="AC14" s="29"/>
      <c r="AD14" s="28"/>
      <c r="AE14" s="29"/>
      <c r="AF14" s="28"/>
      <c r="AG14" s="29"/>
      <c r="AH14" s="28"/>
      <c r="AI14" s="28"/>
      <c r="AJ14" s="28"/>
      <c r="AK14" s="29"/>
      <c r="AL14" s="28"/>
      <c r="AM14" s="29"/>
      <c r="AN14" s="28"/>
      <c r="AO14" s="28"/>
      <c r="AP14" s="28"/>
      <c r="AQ14" s="29"/>
      <c r="AR14" s="27"/>
      <c r="AS14" s="27"/>
      <c r="AT14" s="28"/>
      <c r="AU14" s="29"/>
      <c r="AV14" s="28"/>
      <c r="AW14" s="28"/>
      <c r="AX14" s="28"/>
      <c r="AY14" s="28"/>
      <c r="AZ14" s="28"/>
      <c r="BA14" s="28"/>
      <c r="BB14" s="28"/>
      <c r="BC14" s="29"/>
      <c r="BD14" s="29"/>
      <c r="BE14" s="29"/>
      <c r="BF14" s="29"/>
      <c r="BG14" s="29"/>
      <c r="BH14" s="28"/>
      <c r="BI14" s="28"/>
      <c r="BJ14" s="28"/>
      <c r="BK14" s="29"/>
      <c r="BL14" s="29"/>
      <c r="BM14" s="29"/>
      <c r="BN14" s="29"/>
      <c r="BO14" s="29"/>
      <c r="BP14" s="28"/>
      <c r="BQ14" s="28"/>
      <c r="BR14" s="28"/>
      <c r="BS14" s="29"/>
      <c r="BT14" s="29"/>
      <c r="BU14" s="29"/>
      <c r="BV14" s="29"/>
      <c r="BW14" s="29"/>
      <c r="BX14" s="28"/>
      <c r="BY14" s="28"/>
      <c r="BZ14" s="28"/>
      <c r="CA14" s="29"/>
      <c r="CB14" s="29"/>
      <c r="CC14" s="29"/>
      <c r="CD14" s="29"/>
      <c r="CE14" s="29"/>
      <c r="CF14" s="28"/>
      <c r="CG14" s="28"/>
      <c r="CH14" s="28"/>
      <c r="CI14" s="29"/>
      <c r="CJ14" s="29"/>
      <c r="CK14" s="29"/>
      <c r="CL14" s="29"/>
      <c r="CM14" s="29"/>
      <c r="CN14" s="36"/>
      <c r="CO14" s="31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33"/>
      <c r="DB14" s="34"/>
      <c r="DC14" s="28"/>
      <c r="DD14" s="25"/>
      <c r="DE14" s="25"/>
      <c r="DF14" s="25"/>
    </row>
    <row r="15" spans="1:110" ht="39" customHeight="1" x14ac:dyDescent="0.2">
      <c r="A15" s="37"/>
      <c r="B15" s="57"/>
      <c r="C15" s="16"/>
      <c r="D15" s="16"/>
      <c r="E15" s="16"/>
      <c r="F15" s="38">
        <f>SUM(F10:F11)</f>
        <v>0</v>
      </c>
      <c r="G15" s="38"/>
      <c r="H15" s="39"/>
      <c r="I15" s="39"/>
      <c r="J15" s="39"/>
      <c r="K15" s="38">
        <f>SUM(K10:K11)</f>
        <v>187.5</v>
      </c>
      <c r="L15" s="38"/>
      <c r="M15" s="38">
        <f>SUM(M10:M11)</f>
        <v>180</v>
      </c>
      <c r="N15" s="38"/>
      <c r="O15" s="38"/>
      <c r="P15" s="38"/>
      <c r="Q15" s="38">
        <f>SUM(Q10:Q11)</f>
        <v>253.5</v>
      </c>
      <c r="R15" s="38"/>
      <c r="S15" s="38">
        <f>SUM(S10:S11)</f>
        <v>180</v>
      </c>
      <c r="T15" s="38"/>
      <c r="U15" s="38"/>
      <c r="V15" s="38"/>
      <c r="W15" s="38">
        <f>SUM(W10:W11)</f>
        <v>253.5</v>
      </c>
      <c r="X15" s="38"/>
      <c r="Y15" s="38">
        <f>SUM(Y10:Y11)</f>
        <v>300</v>
      </c>
      <c r="Z15" s="38"/>
      <c r="AA15" s="38"/>
      <c r="AB15" s="38"/>
      <c r="AC15" s="38">
        <f>SUM(AC10:AC11)</f>
        <v>292.5</v>
      </c>
      <c r="AD15" s="38"/>
      <c r="AE15" s="38">
        <f>SUM(AE10:AE11)</f>
        <v>600</v>
      </c>
      <c r="AF15" s="38"/>
      <c r="AG15" s="38">
        <f>SUM(AG10:AG11)</f>
        <v>600</v>
      </c>
      <c r="AH15" s="38"/>
      <c r="AI15" s="38"/>
      <c r="AJ15" s="38"/>
      <c r="AK15" s="38">
        <f>SUM(AK10:AK11)</f>
        <v>390</v>
      </c>
      <c r="AL15" s="38"/>
      <c r="AM15" s="38">
        <f>SUM(AM10:AM11)</f>
        <v>960</v>
      </c>
      <c r="AN15" s="38"/>
      <c r="AO15" s="38"/>
      <c r="AP15" s="38"/>
      <c r="AQ15" s="38">
        <f>SUM(AQ10:AQ11)</f>
        <v>507</v>
      </c>
      <c r="AR15" s="38"/>
      <c r="AS15" s="38"/>
      <c r="AT15" s="38"/>
      <c r="AU15" s="38">
        <f>SUM(AU10:AU11)</f>
        <v>60</v>
      </c>
      <c r="AV15" s="38"/>
      <c r="AW15" s="38"/>
      <c r="AX15" s="38"/>
      <c r="AY15" s="38"/>
      <c r="AZ15" s="38"/>
      <c r="BA15" s="38"/>
      <c r="BB15" s="38"/>
      <c r="BC15" s="38">
        <f>SUM(BC10:BC11)</f>
        <v>78</v>
      </c>
      <c r="BD15" s="38"/>
      <c r="BE15" s="38"/>
      <c r="BF15" s="38"/>
      <c r="BG15" s="38"/>
      <c r="BH15" s="38"/>
      <c r="BI15" s="38"/>
      <c r="BJ15" s="38"/>
      <c r="BK15" s="38">
        <f>SUM(BK10:BK11)</f>
        <v>78</v>
      </c>
      <c r="BL15" s="38"/>
      <c r="BM15" s="38"/>
      <c r="BN15" s="38"/>
      <c r="BO15" s="38"/>
      <c r="BP15" s="38"/>
      <c r="BQ15" s="38"/>
      <c r="BR15" s="38"/>
      <c r="BS15" s="38">
        <f>SUM(BS10:BS11)</f>
        <v>90</v>
      </c>
      <c r="BT15" s="38"/>
      <c r="BU15" s="38"/>
      <c r="BV15" s="38"/>
      <c r="BW15" s="38"/>
      <c r="BX15" s="38"/>
      <c r="BY15" s="38"/>
      <c r="BZ15" s="38"/>
      <c r="CA15" s="38">
        <f>SUM(CA10:CA11)</f>
        <v>120</v>
      </c>
      <c r="CB15" s="38"/>
      <c r="CC15" s="38"/>
      <c r="CD15" s="38"/>
      <c r="CE15" s="38"/>
      <c r="CF15" s="38"/>
      <c r="CG15" s="38"/>
      <c r="CH15" s="38"/>
      <c r="CI15" s="38">
        <f>SUM(CI10:CI11)</f>
        <v>156</v>
      </c>
      <c r="CJ15" s="38"/>
      <c r="CK15" s="38"/>
      <c r="CL15" s="38"/>
      <c r="CM15" s="38"/>
      <c r="CN15" s="38">
        <f>SUM(CN10:CN11)</f>
        <v>454.5</v>
      </c>
      <c r="CO15" s="31">
        <f>SUM(CO10:CO14)</f>
        <v>6340.5</v>
      </c>
      <c r="CP15" s="38">
        <f t="shared" ref="CP15:CW15" si="0">SUM(CP10:CP11)</f>
        <v>0</v>
      </c>
      <c r="CQ15" s="38">
        <f t="shared" si="0"/>
        <v>1150</v>
      </c>
      <c r="CR15" s="38">
        <f t="shared" si="0"/>
        <v>200</v>
      </c>
      <c r="CS15" s="38">
        <f t="shared" si="0"/>
        <v>0</v>
      </c>
      <c r="CT15" s="38">
        <f t="shared" si="0"/>
        <v>0</v>
      </c>
      <c r="CU15" s="38">
        <f t="shared" si="0"/>
        <v>0</v>
      </c>
      <c r="CV15" s="38">
        <f t="shared" si="0"/>
        <v>0</v>
      </c>
      <c r="CW15" s="38">
        <f t="shared" si="0"/>
        <v>0</v>
      </c>
      <c r="CX15" s="38"/>
      <c r="CY15" s="38">
        <f>SUM(CY10:CY11)</f>
        <v>0</v>
      </c>
      <c r="CZ15" s="38"/>
      <c r="DA15" s="40"/>
      <c r="DB15" s="38">
        <f>SUM(DB10:DB14)</f>
        <v>4990.5</v>
      </c>
      <c r="DC15" s="38"/>
      <c r="DD15" s="37"/>
      <c r="DE15" s="37"/>
      <c r="DF15" s="37"/>
    </row>
    <row r="16" spans="1:110" ht="37" customHeight="1" x14ac:dyDescent="0.2">
      <c r="A16" s="41"/>
      <c r="B16" s="42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3"/>
      <c r="CP16" s="41"/>
      <c r="CQ16" s="41"/>
      <c r="CR16" s="41"/>
      <c r="CS16" s="41"/>
      <c r="CT16" s="41"/>
      <c r="CU16" s="41"/>
      <c r="CV16" s="41"/>
      <c r="CW16" s="41"/>
      <c r="CX16" s="41"/>
      <c r="CY16" s="44"/>
      <c r="CZ16" s="44"/>
      <c r="DA16" s="45"/>
      <c r="DB16" s="46"/>
      <c r="DC16" s="47"/>
      <c r="DD16" s="41"/>
      <c r="DE16" s="41"/>
      <c r="DF16" s="41"/>
    </row>
    <row r="17" spans="1:110" ht="36" customHeight="1" x14ac:dyDescent="0.2">
      <c r="A17" s="25"/>
      <c r="B17" s="48" t="s">
        <v>60</v>
      </c>
      <c r="C17" s="49"/>
      <c r="D17" s="49"/>
      <c r="E17" s="49"/>
      <c r="F17" s="48"/>
      <c r="G17" s="49"/>
      <c r="H17" s="48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13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54"/>
      <c r="DD17" s="25"/>
      <c r="DE17" s="25"/>
      <c r="DF17" s="25"/>
    </row>
    <row r="18" spans="1:110" ht="36" customHeight="1" x14ac:dyDescent="0.2">
      <c r="A18" s="25"/>
      <c r="B18" s="50"/>
      <c r="C18" s="49"/>
      <c r="D18" s="49"/>
      <c r="E18" s="49" t="s">
        <v>61</v>
      </c>
      <c r="F18" s="50"/>
      <c r="G18" s="49"/>
      <c r="H18" s="50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13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55"/>
      <c r="DD18" s="25"/>
      <c r="DE18" s="25"/>
      <c r="DF18" s="25"/>
    </row>
    <row r="19" spans="1:110" ht="37" customHeight="1" x14ac:dyDescent="0.2">
      <c r="A19" s="25"/>
      <c r="B19" s="48" t="s">
        <v>62</v>
      </c>
      <c r="C19" s="49"/>
      <c r="D19" s="49"/>
      <c r="E19" s="49"/>
      <c r="F19" s="48"/>
      <c r="G19" s="49"/>
      <c r="H19" s="48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13"/>
      <c r="CP19" s="49"/>
      <c r="CQ19" s="49"/>
      <c r="CR19" s="49"/>
      <c r="CS19" s="49"/>
      <c r="CT19" s="49"/>
      <c r="CU19" s="49"/>
      <c r="CV19" s="49"/>
      <c r="CW19" s="49"/>
      <c r="CX19" s="56" t="s">
        <v>63</v>
      </c>
      <c r="DB19" s="47"/>
      <c r="DC19" s="51"/>
      <c r="DD19" s="25"/>
      <c r="DE19" s="25"/>
      <c r="DF19" s="25"/>
    </row>
    <row r="20" spans="1:110" ht="36" customHeight="1" x14ac:dyDescent="0.2">
      <c r="A20" s="9"/>
      <c r="B20" s="48" t="s">
        <v>42</v>
      </c>
      <c r="C20" s="25"/>
      <c r="D20" s="25"/>
      <c r="E20" s="25"/>
      <c r="F20" s="48"/>
      <c r="G20" s="25"/>
      <c r="H20" s="48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52"/>
      <c r="CP20" s="25"/>
      <c r="CQ20" s="25"/>
      <c r="CR20" s="25"/>
      <c r="CS20" s="25"/>
      <c r="CT20" s="25"/>
      <c r="CU20" s="25"/>
      <c r="CV20" s="25"/>
      <c r="CW20" s="25"/>
      <c r="CX20" s="73" t="s">
        <v>64</v>
      </c>
      <c r="CY20" s="64"/>
      <c r="CZ20" s="62"/>
      <c r="DA20" s="50"/>
      <c r="DB20" s="50"/>
      <c r="DC20" s="53"/>
      <c r="DD20" s="14"/>
      <c r="DE20" s="9"/>
      <c r="DF20" s="9"/>
    </row>
  </sheetData>
  <mergeCells count="57">
    <mergeCell ref="BX7:CA7"/>
    <mergeCell ref="CJ7:CM7"/>
    <mergeCell ref="BP7:BS7"/>
    <mergeCell ref="DA6:DA9"/>
    <mergeCell ref="D6:D9"/>
    <mergeCell ref="T7:W7"/>
    <mergeCell ref="H6:K7"/>
    <mergeCell ref="AH7:AK7"/>
    <mergeCell ref="AN7:AQ7"/>
    <mergeCell ref="F6:G8"/>
    <mergeCell ref="X8:Y8"/>
    <mergeCell ref="X7:Y7"/>
    <mergeCell ref="E6:E9"/>
    <mergeCell ref="CN6:CN9"/>
    <mergeCell ref="AD8:AE8"/>
    <mergeCell ref="T8:W8"/>
    <mergeCell ref="CF8:CI8"/>
    <mergeCell ref="AN8:AQ8"/>
    <mergeCell ref="DC6:DC9"/>
    <mergeCell ref="AR6:CM6"/>
    <mergeCell ref="AH8:AK8"/>
    <mergeCell ref="CX20:CZ20"/>
    <mergeCell ref="CJ8:CM8"/>
    <mergeCell ref="CP6:CZ7"/>
    <mergeCell ref="CF7:CI7"/>
    <mergeCell ref="CP8:CT8"/>
    <mergeCell ref="AV7:AY8"/>
    <mergeCell ref="DB6:DB9"/>
    <mergeCell ref="CU8:CZ8"/>
    <mergeCell ref="CO6:CO9"/>
    <mergeCell ref="AL7:AM7"/>
    <mergeCell ref="BL8:BO8"/>
    <mergeCell ref="BX8:CA8"/>
    <mergeCell ref="AZ7:BC8"/>
    <mergeCell ref="BT7:BW7"/>
    <mergeCell ref="N6:Q7"/>
    <mergeCell ref="CB7:CE7"/>
    <mergeCell ref="AF8:AG8"/>
    <mergeCell ref="AL8:AM8"/>
    <mergeCell ref="AD7:AE7"/>
    <mergeCell ref="AF7:AG7"/>
    <mergeCell ref="BD7:BG8"/>
    <mergeCell ref="AR7:AU8"/>
    <mergeCell ref="BH8:BK8"/>
    <mergeCell ref="BT8:BW8"/>
    <mergeCell ref="Z8:AC8"/>
    <mergeCell ref="BP8:BS8"/>
    <mergeCell ref="CB8:CE8"/>
    <mergeCell ref="R7:S7"/>
    <mergeCell ref="BH7:BK7"/>
    <mergeCell ref="C6:C9"/>
    <mergeCell ref="R8:S8"/>
    <mergeCell ref="BL7:BO7"/>
    <mergeCell ref="B6:B9"/>
    <mergeCell ref="Z7:AC7"/>
    <mergeCell ref="L6:M7"/>
    <mergeCell ref="R6:AQ6"/>
  </mergeCells>
  <conditionalFormatting sqref="B6:B9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FFFFFF"/>
        <color rgb="FF57BB8A"/>
      </colorScale>
    </cfRule>
  </conditionalFormatting>
  <printOptions gridLines="1"/>
  <pageMargins left="0.5" right="0.17073170731707299" top="0.81227758007117401" bottom="1" header="0" footer="0"/>
  <pageSetup paperSize="5" scale="28" fitToWidth="5" fitToHeight="0" orientation="landscape"/>
  <colBreaks count="4" manualBreakCount="4">
    <brk id="25" min="5" max="19" man="1"/>
    <brk id="43" max="1048575" man="1"/>
    <brk id="71" min="5" max="19" man="1"/>
    <brk id="93" min="5" max="1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20"/>
  <sheetViews>
    <sheetView topLeftCell="A446" workbookViewId="0">
      <selection activeCell="E26" sqref="E26"/>
    </sheetView>
  </sheetViews>
  <sheetFormatPr baseColWidth="10" defaultRowHeight="15" x14ac:dyDescent="0.2"/>
  <sheetData>
    <row r="1" spans="1:106" ht="22" customHeight="1" x14ac:dyDescent="0.2">
      <c r="A1" s="4"/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7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7"/>
      <c r="DB1" s="6"/>
    </row>
    <row r="2" spans="1:106" ht="30" customHeight="1" x14ac:dyDescent="0.2">
      <c r="A2" s="9"/>
      <c r="B2" s="9"/>
      <c r="C2" s="9"/>
      <c r="D2" s="10" t="s">
        <v>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</row>
    <row r="3" spans="1:106" ht="30" customHeight="1" x14ac:dyDescent="0.2">
      <c r="A3" s="9"/>
      <c r="B3" s="9"/>
      <c r="C3" s="9"/>
      <c r="D3" s="10" t="s">
        <v>1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</row>
    <row r="4" spans="1:106" ht="30" customHeight="1" x14ac:dyDescent="0.2">
      <c r="A4" s="9"/>
      <c r="B4" s="9"/>
      <c r="C4" s="9"/>
      <c r="D4" s="10" t="s">
        <v>2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</row>
    <row r="5" spans="1:106" ht="36" customHeight="1" x14ac:dyDescent="0.2">
      <c r="A5" s="9"/>
      <c r="B5" s="11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3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3"/>
      <c r="DB5" s="12"/>
    </row>
    <row r="6" spans="1:106" ht="37" customHeight="1" x14ac:dyDescent="0.2">
      <c r="A6" s="15"/>
      <c r="B6" s="58" t="s">
        <v>3</v>
      </c>
      <c r="C6" s="58" t="s">
        <v>4</v>
      </c>
      <c r="D6" s="58" t="s">
        <v>5</v>
      </c>
      <c r="E6" s="58" t="s">
        <v>6</v>
      </c>
      <c r="F6" s="78" t="s">
        <v>7</v>
      </c>
      <c r="G6" s="67"/>
      <c r="H6" s="65" t="s">
        <v>8</v>
      </c>
      <c r="I6" s="66"/>
      <c r="J6" s="66"/>
      <c r="K6" s="67"/>
      <c r="L6" s="65" t="s">
        <v>9</v>
      </c>
      <c r="M6" s="67"/>
      <c r="N6" s="65" t="s">
        <v>10</v>
      </c>
      <c r="O6" s="66"/>
      <c r="P6" s="66"/>
      <c r="Q6" s="67"/>
      <c r="R6" s="65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2"/>
      <c r="AR6" s="65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4"/>
      <c r="BQ6" s="64"/>
      <c r="BR6" s="64"/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4"/>
      <c r="CD6" s="64"/>
      <c r="CE6" s="64"/>
      <c r="CF6" s="64"/>
      <c r="CG6" s="64"/>
      <c r="CH6" s="64"/>
      <c r="CI6" s="64"/>
      <c r="CJ6" s="64"/>
      <c r="CK6" s="64"/>
      <c r="CL6" s="64"/>
      <c r="CM6" s="62"/>
      <c r="CN6" s="78" t="s">
        <v>11</v>
      </c>
      <c r="CO6" s="77" t="s">
        <v>12</v>
      </c>
      <c r="CP6" s="74" t="s">
        <v>13</v>
      </c>
      <c r="CQ6" s="66"/>
      <c r="CR6" s="66"/>
      <c r="CS6" s="66"/>
      <c r="CT6" s="66"/>
      <c r="CU6" s="66"/>
      <c r="CV6" s="66"/>
      <c r="CW6" s="66"/>
      <c r="CX6" s="66"/>
      <c r="CY6" s="66"/>
      <c r="CZ6" s="67"/>
      <c r="DA6" s="77" t="s">
        <v>14</v>
      </c>
      <c r="DB6" s="76" t="s">
        <v>15</v>
      </c>
    </row>
    <row r="7" spans="1:106" ht="37" customHeight="1" x14ac:dyDescent="0.2">
      <c r="A7" s="15"/>
      <c r="B7" s="59"/>
      <c r="C7" s="59"/>
      <c r="D7" s="59"/>
      <c r="E7" s="59"/>
      <c r="F7" s="79"/>
      <c r="G7" s="80"/>
      <c r="H7" s="68"/>
      <c r="I7" s="69"/>
      <c r="J7" s="69"/>
      <c r="K7" s="70"/>
      <c r="L7" s="68"/>
      <c r="M7" s="70"/>
      <c r="N7" s="68"/>
      <c r="O7" s="69"/>
      <c r="P7" s="69"/>
      <c r="Q7" s="70"/>
      <c r="R7" s="71" t="s">
        <v>17</v>
      </c>
      <c r="S7" s="62"/>
      <c r="T7" s="63" t="s">
        <v>18</v>
      </c>
      <c r="U7" s="64"/>
      <c r="V7" s="64"/>
      <c r="W7" s="62"/>
      <c r="X7" s="71" t="s">
        <v>19</v>
      </c>
      <c r="Y7" s="62"/>
      <c r="Z7" s="63" t="s">
        <v>20</v>
      </c>
      <c r="AA7" s="64"/>
      <c r="AB7" s="64"/>
      <c r="AC7" s="62"/>
      <c r="AD7" s="71" t="s">
        <v>21</v>
      </c>
      <c r="AE7" s="62"/>
      <c r="AF7" s="71" t="s">
        <v>22</v>
      </c>
      <c r="AG7" s="62"/>
      <c r="AH7" s="63" t="s">
        <v>23</v>
      </c>
      <c r="AI7" s="64"/>
      <c r="AJ7" s="64"/>
      <c r="AK7" s="62"/>
      <c r="AL7" s="71" t="s">
        <v>24</v>
      </c>
      <c r="AM7" s="62"/>
      <c r="AN7" s="63" t="s">
        <v>25</v>
      </c>
      <c r="AO7" s="64"/>
      <c r="AP7" s="64"/>
      <c r="AQ7" s="62"/>
      <c r="AR7" s="71" t="s">
        <v>26</v>
      </c>
      <c r="AS7" s="66"/>
      <c r="AT7" s="66"/>
      <c r="AU7" s="67"/>
      <c r="AV7" s="63" t="s">
        <v>27</v>
      </c>
      <c r="AW7" s="66"/>
      <c r="AX7" s="66"/>
      <c r="AY7" s="67"/>
      <c r="AZ7" s="71" t="s">
        <v>28</v>
      </c>
      <c r="BA7" s="66"/>
      <c r="BB7" s="66"/>
      <c r="BC7" s="67"/>
      <c r="BD7" s="63" t="s">
        <v>29</v>
      </c>
      <c r="BE7" s="66"/>
      <c r="BF7" s="66"/>
      <c r="BG7" s="67"/>
      <c r="BH7" s="71" t="s">
        <v>30</v>
      </c>
      <c r="BI7" s="64"/>
      <c r="BJ7" s="64"/>
      <c r="BK7" s="62"/>
      <c r="BL7" s="63" t="s">
        <v>31</v>
      </c>
      <c r="BM7" s="64"/>
      <c r="BN7" s="64"/>
      <c r="BO7" s="62"/>
      <c r="BP7" s="71" t="s">
        <v>32</v>
      </c>
      <c r="BQ7" s="64"/>
      <c r="BR7" s="64"/>
      <c r="BS7" s="62"/>
      <c r="BT7" s="63" t="s">
        <v>33</v>
      </c>
      <c r="BU7" s="64"/>
      <c r="BV7" s="64"/>
      <c r="BW7" s="62"/>
      <c r="BX7" s="71" t="s">
        <v>34</v>
      </c>
      <c r="BY7" s="64"/>
      <c r="BZ7" s="64"/>
      <c r="CA7" s="62"/>
      <c r="CB7" s="63" t="s">
        <v>35</v>
      </c>
      <c r="CC7" s="64"/>
      <c r="CD7" s="64"/>
      <c r="CE7" s="62"/>
      <c r="CF7" s="71" t="s">
        <v>36</v>
      </c>
      <c r="CG7" s="64"/>
      <c r="CH7" s="64"/>
      <c r="CI7" s="62"/>
      <c r="CJ7" s="63" t="s">
        <v>37</v>
      </c>
      <c r="CK7" s="64"/>
      <c r="CL7" s="64"/>
      <c r="CM7" s="62"/>
      <c r="CN7" s="59"/>
      <c r="CO7" s="59"/>
      <c r="CP7" s="68"/>
      <c r="CQ7" s="69"/>
      <c r="CR7" s="69"/>
      <c r="CS7" s="69"/>
      <c r="CT7" s="69"/>
      <c r="CU7" s="69"/>
      <c r="CV7" s="69"/>
      <c r="CW7" s="69"/>
      <c r="CX7" s="69"/>
      <c r="CY7" s="69"/>
      <c r="CZ7" s="70"/>
      <c r="DA7" s="59"/>
      <c r="DB7" s="59"/>
    </row>
    <row r="8" spans="1:106" ht="22" customHeight="1" x14ac:dyDescent="0.2">
      <c r="A8" s="17"/>
      <c r="B8" s="59"/>
      <c r="C8" s="59"/>
      <c r="D8" s="59"/>
      <c r="E8" s="59"/>
      <c r="F8" s="68"/>
      <c r="G8" s="70"/>
      <c r="H8" s="18"/>
      <c r="I8" s="18"/>
      <c r="J8" s="18"/>
      <c r="K8" s="18"/>
      <c r="L8" s="18"/>
      <c r="M8" s="18"/>
      <c r="N8" s="18"/>
      <c r="O8" s="18"/>
      <c r="P8" s="18"/>
      <c r="Q8" s="18"/>
      <c r="R8" s="61" t="s">
        <v>38</v>
      </c>
      <c r="S8" s="62"/>
      <c r="T8" s="61" t="s">
        <v>38</v>
      </c>
      <c r="U8" s="64"/>
      <c r="V8" s="64"/>
      <c r="W8" s="62"/>
      <c r="X8" s="61" t="s">
        <v>38</v>
      </c>
      <c r="Y8" s="62"/>
      <c r="Z8" s="61" t="s">
        <v>38</v>
      </c>
      <c r="AA8" s="64"/>
      <c r="AB8" s="64"/>
      <c r="AC8" s="62"/>
      <c r="AD8" s="61" t="s">
        <v>38</v>
      </c>
      <c r="AE8" s="62"/>
      <c r="AF8" s="61" t="s">
        <v>38</v>
      </c>
      <c r="AG8" s="62"/>
      <c r="AH8" s="61" t="s">
        <v>38</v>
      </c>
      <c r="AI8" s="64"/>
      <c r="AJ8" s="64"/>
      <c r="AK8" s="62"/>
      <c r="AL8" s="61" t="s">
        <v>38</v>
      </c>
      <c r="AM8" s="62"/>
      <c r="AN8" s="61" t="s">
        <v>38</v>
      </c>
      <c r="AO8" s="64"/>
      <c r="AP8" s="64"/>
      <c r="AQ8" s="62"/>
      <c r="AR8" s="68"/>
      <c r="AS8" s="69"/>
      <c r="AT8" s="69"/>
      <c r="AU8" s="70"/>
      <c r="AV8" s="68"/>
      <c r="AW8" s="69"/>
      <c r="AX8" s="69"/>
      <c r="AY8" s="70"/>
      <c r="AZ8" s="68"/>
      <c r="BA8" s="69"/>
      <c r="BB8" s="69"/>
      <c r="BC8" s="70"/>
      <c r="BD8" s="68"/>
      <c r="BE8" s="69"/>
      <c r="BF8" s="69"/>
      <c r="BG8" s="70"/>
      <c r="BH8" s="61" t="s">
        <v>38</v>
      </c>
      <c r="BI8" s="64"/>
      <c r="BJ8" s="64"/>
      <c r="BK8" s="62"/>
      <c r="BL8" s="61" t="s">
        <v>38</v>
      </c>
      <c r="BM8" s="64"/>
      <c r="BN8" s="64"/>
      <c r="BO8" s="62"/>
      <c r="BP8" s="61" t="s">
        <v>38</v>
      </c>
      <c r="BQ8" s="64"/>
      <c r="BR8" s="64"/>
      <c r="BS8" s="62"/>
      <c r="BT8" s="61" t="s">
        <v>38</v>
      </c>
      <c r="BU8" s="64"/>
      <c r="BV8" s="64"/>
      <c r="BW8" s="62"/>
      <c r="BX8" s="61" t="s">
        <v>38</v>
      </c>
      <c r="BY8" s="64"/>
      <c r="BZ8" s="64"/>
      <c r="CA8" s="62"/>
      <c r="CB8" s="61" t="s">
        <v>38</v>
      </c>
      <c r="CC8" s="64"/>
      <c r="CD8" s="64"/>
      <c r="CE8" s="62"/>
      <c r="CF8" s="61" t="s">
        <v>38</v>
      </c>
      <c r="CG8" s="64"/>
      <c r="CH8" s="64"/>
      <c r="CI8" s="62"/>
      <c r="CJ8" s="61" t="s">
        <v>38</v>
      </c>
      <c r="CK8" s="64"/>
      <c r="CL8" s="64"/>
      <c r="CM8" s="62"/>
      <c r="CN8" s="59"/>
      <c r="CO8" s="59"/>
      <c r="CP8" s="75" t="s">
        <v>39</v>
      </c>
      <c r="CQ8" s="64"/>
      <c r="CR8" s="64"/>
      <c r="CS8" s="64"/>
      <c r="CT8" s="62"/>
      <c r="CU8" s="75" t="s">
        <v>0</v>
      </c>
      <c r="CV8" s="64"/>
      <c r="CW8" s="64"/>
      <c r="CX8" s="64"/>
      <c r="CY8" s="64"/>
      <c r="CZ8" s="62"/>
      <c r="DA8" s="59"/>
      <c r="DB8" s="59"/>
    </row>
    <row r="9" spans="1:106" ht="130" customHeight="1" x14ac:dyDescent="0.2">
      <c r="A9" s="19"/>
      <c r="B9" s="60"/>
      <c r="C9" s="60"/>
      <c r="D9" s="60"/>
      <c r="E9" s="60"/>
      <c r="F9" s="20" t="s">
        <v>40</v>
      </c>
      <c r="G9" s="20" t="s">
        <v>41</v>
      </c>
      <c r="H9" s="21" t="s">
        <v>42</v>
      </c>
      <c r="I9" s="21" t="s">
        <v>43</v>
      </c>
      <c r="J9" s="21" t="s">
        <v>44</v>
      </c>
      <c r="K9" s="22"/>
      <c r="L9" s="21" t="s">
        <v>42</v>
      </c>
      <c r="M9" s="22"/>
      <c r="N9" s="21" t="s">
        <v>42</v>
      </c>
      <c r="O9" s="21" t="s">
        <v>43</v>
      </c>
      <c r="P9" s="21" t="s">
        <v>44</v>
      </c>
      <c r="Q9" s="22"/>
      <c r="R9" s="21" t="s">
        <v>42</v>
      </c>
      <c r="S9" s="22"/>
      <c r="T9" s="23" t="s">
        <v>42</v>
      </c>
      <c r="U9" s="23" t="s">
        <v>43</v>
      </c>
      <c r="V9" s="23" t="s">
        <v>44</v>
      </c>
      <c r="W9" s="22"/>
      <c r="X9" s="21" t="s">
        <v>42</v>
      </c>
      <c r="Y9" s="22"/>
      <c r="Z9" s="23" t="s">
        <v>42</v>
      </c>
      <c r="AA9" s="23" t="s">
        <v>43</v>
      </c>
      <c r="AB9" s="23" t="s">
        <v>44</v>
      </c>
      <c r="AC9" s="22"/>
      <c r="AD9" s="21" t="s">
        <v>42</v>
      </c>
      <c r="AE9" s="22"/>
      <c r="AF9" s="21" t="s">
        <v>42</v>
      </c>
      <c r="AG9" s="22"/>
      <c r="AH9" s="23" t="s">
        <v>42</v>
      </c>
      <c r="AI9" s="23" t="s">
        <v>43</v>
      </c>
      <c r="AJ9" s="23" t="s">
        <v>44</v>
      </c>
      <c r="AK9" s="22"/>
      <c r="AL9" s="21" t="s">
        <v>42</v>
      </c>
      <c r="AM9" s="22"/>
      <c r="AN9" s="23" t="s">
        <v>42</v>
      </c>
      <c r="AO9" s="23" t="s">
        <v>43</v>
      </c>
      <c r="AP9" s="23" t="s">
        <v>44</v>
      </c>
      <c r="AQ9" s="22"/>
      <c r="AR9" s="21" t="s">
        <v>42</v>
      </c>
      <c r="AS9" s="21" t="s">
        <v>43</v>
      </c>
      <c r="AT9" s="21" t="s">
        <v>44</v>
      </c>
      <c r="AU9" s="22"/>
      <c r="AV9" s="21" t="s">
        <v>42</v>
      </c>
      <c r="AW9" s="21" t="s">
        <v>43</v>
      </c>
      <c r="AX9" s="21" t="s">
        <v>44</v>
      </c>
      <c r="AY9" s="21"/>
      <c r="AZ9" s="21" t="s">
        <v>42</v>
      </c>
      <c r="BA9" s="21" t="s">
        <v>43</v>
      </c>
      <c r="BB9" s="21" t="s">
        <v>44</v>
      </c>
      <c r="BC9" s="22"/>
      <c r="BD9" s="24" t="s">
        <v>42</v>
      </c>
      <c r="BE9" s="24" t="s">
        <v>43</v>
      </c>
      <c r="BF9" s="24" t="s">
        <v>44</v>
      </c>
      <c r="BG9" s="22"/>
      <c r="BH9" s="21" t="s">
        <v>42</v>
      </c>
      <c r="BI9" s="21" t="s">
        <v>43</v>
      </c>
      <c r="BJ9" s="21" t="s">
        <v>44</v>
      </c>
      <c r="BK9" s="22"/>
      <c r="BL9" s="24" t="s">
        <v>42</v>
      </c>
      <c r="BM9" s="24" t="s">
        <v>43</v>
      </c>
      <c r="BN9" s="24" t="s">
        <v>44</v>
      </c>
      <c r="BO9" s="24"/>
      <c r="BP9" s="21" t="s">
        <v>42</v>
      </c>
      <c r="BQ9" s="21" t="s">
        <v>43</v>
      </c>
      <c r="BR9" s="21" t="s">
        <v>44</v>
      </c>
      <c r="BS9" s="22"/>
      <c r="BT9" s="21" t="s">
        <v>42</v>
      </c>
      <c r="BU9" s="21" t="s">
        <v>43</v>
      </c>
      <c r="BV9" s="21" t="s">
        <v>44</v>
      </c>
      <c r="BW9" s="22"/>
      <c r="BX9" s="21" t="s">
        <v>42</v>
      </c>
      <c r="BY9" s="21" t="s">
        <v>43</v>
      </c>
      <c r="BZ9" s="21" t="s">
        <v>44</v>
      </c>
      <c r="CA9" s="22"/>
      <c r="CB9" s="21" t="s">
        <v>42</v>
      </c>
      <c r="CC9" s="21" t="s">
        <v>43</v>
      </c>
      <c r="CD9" s="21" t="s">
        <v>44</v>
      </c>
      <c r="CE9" s="22"/>
      <c r="CF9" s="21" t="s">
        <v>42</v>
      </c>
      <c r="CG9" s="21" t="s">
        <v>43</v>
      </c>
      <c r="CH9" s="21" t="s">
        <v>44</v>
      </c>
      <c r="CI9" s="22"/>
      <c r="CJ9" s="21" t="s">
        <v>42</v>
      </c>
      <c r="CK9" s="21" t="s">
        <v>43</v>
      </c>
      <c r="CL9" s="21" t="s">
        <v>44</v>
      </c>
      <c r="CM9" s="22"/>
      <c r="CN9" s="60"/>
      <c r="CO9" s="60"/>
      <c r="CP9" s="21" t="s">
        <v>45</v>
      </c>
      <c r="CQ9" s="21" t="s">
        <v>46</v>
      </c>
      <c r="CR9" s="21" t="s">
        <v>47</v>
      </c>
      <c r="CS9" s="21" t="s">
        <v>48</v>
      </c>
      <c r="CT9" s="21" t="s">
        <v>49</v>
      </c>
      <c r="CU9" s="21" t="s">
        <v>50</v>
      </c>
      <c r="CV9" s="21" t="s">
        <v>51</v>
      </c>
      <c r="CW9" s="21" t="s">
        <v>52</v>
      </c>
      <c r="CX9" s="21" t="s">
        <v>53</v>
      </c>
      <c r="CY9" s="21" t="s">
        <v>54</v>
      </c>
      <c r="CZ9" s="21" t="s">
        <v>55</v>
      </c>
      <c r="DA9" s="60"/>
      <c r="DB9" s="60"/>
    </row>
    <row r="10" spans="1:106" ht="111" customHeight="1" x14ac:dyDescent="0.2">
      <c r="A10" s="25"/>
      <c r="B10" s="26">
        <v>1</v>
      </c>
      <c r="C10" s="27" t="s">
        <v>56</v>
      </c>
      <c r="D10" s="27">
        <v>1</v>
      </c>
      <c r="E10" s="28">
        <v>600</v>
      </c>
      <c r="F10" s="28"/>
      <c r="G10" s="28">
        <f>F10*D10</f>
        <v>0</v>
      </c>
      <c r="H10" s="27">
        <v>2</v>
      </c>
      <c r="I10" s="27">
        <v>0</v>
      </c>
      <c r="J10" s="28">
        <f>(H10 + (I10 / 60))</f>
        <v>2</v>
      </c>
      <c r="K10" s="29">
        <f>((E10/8)*1.25)*J10</f>
        <v>187.5</v>
      </c>
      <c r="L10" s="27">
        <v>8</v>
      </c>
      <c r="M10" s="29">
        <f>((E10/8)*0.3)*L10</f>
        <v>180</v>
      </c>
      <c r="N10" s="27">
        <v>2</v>
      </c>
      <c r="O10" s="27">
        <v>0</v>
      </c>
      <c r="P10" s="28">
        <f>N10+(O10/60)</f>
        <v>2</v>
      </c>
      <c r="Q10" s="29">
        <f>(((E10+M10)/8)*1.3)*P10</f>
        <v>253.5</v>
      </c>
      <c r="R10" s="28">
        <v>8</v>
      </c>
      <c r="S10" s="29">
        <f>((E10/8)*0.3)*R10</f>
        <v>180</v>
      </c>
      <c r="T10" s="27">
        <v>2</v>
      </c>
      <c r="U10" s="27">
        <v>0</v>
      </c>
      <c r="V10" s="28">
        <f>T10+(U10/60)</f>
        <v>2</v>
      </c>
      <c r="W10" s="29">
        <f>(((E10+S10)/8)*1.3)*V10</f>
        <v>253.5</v>
      </c>
      <c r="X10" s="28">
        <v>8</v>
      </c>
      <c r="Y10" s="29">
        <f>((E10/8)*0.5)*X10</f>
        <v>300</v>
      </c>
      <c r="Z10" s="27">
        <v>2</v>
      </c>
      <c r="AA10" s="27">
        <v>0</v>
      </c>
      <c r="AB10" s="28">
        <f>Z10+(AA10/60)</f>
        <v>2</v>
      </c>
      <c r="AC10" s="29">
        <f>(((E10+Y10)/8)*1.3)*AB10</f>
        <v>292.5</v>
      </c>
      <c r="AD10" s="28">
        <v>8</v>
      </c>
      <c r="AE10" s="29">
        <f>((E10/8)*1)*8</f>
        <v>600</v>
      </c>
      <c r="AF10" s="28">
        <v>8</v>
      </c>
      <c r="AG10" s="29">
        <f>((E10/8)*1)*AF10</f>
        <v>600</v>
      </c>
      <c r="AH10" s="27">
        <v>2</v>
      </c>
      <c r="AI10" s="27">
        <v>0</v>
      </c>
      <c r="AJ10" s="28">
        <f>AH10+(AI10/60)</f>
        <v>2</v>
      </c>
      <c r="AK10" s="29">
        <f>(((E10+AG10)/8)*1.3)*AJ10</f>
        <v>390</v>
      </c>
      <c r="AL10" s="28">
        <v>8</v>
      </c>
      <c r="AM10" s="29">
        <f>((E10/8)*1.6)*AL10</f>
        <v>960</v>
      </c>
      <c r="AN10" s="27">
        <v>2</v>
      </c>
      <c r="AO10" s="27">
        <v>0</v>
      </c>
      <c r="AP10" s="28">
        <f>AN10+(AO10/60)</f>
        <v>2</v>
      </c>
      <c r="AQ10" s="29">
        <f>(((E10+AM10)/8)*1.3)*AP10</f>
        <v>507</v>
      </c>
      <c r="AR10" s="27">
        <v>8</v>
      </c>
      <c r="AS10" s="27">
        <v>0</v>
      </c>
      <c r="AT10" s="28">
        <f>AR10+(AS10/60)</f>
        <v>8</v>
      </c>
      <c r="AU10" s="29">
        <f>((E10/8)*0.1)*AT10</f>
        <v>60</v>
      </c>
      <c r="AV10" s="27">
        <v>8</v>
      </c>
      <c r="AW10" s="27">
        <v>0</v>
      </c>
      <c r="AX10" s="28">
        <f>AV10+(AW10/60)</f>
        <v>8</v>
      </c>
      <c r="AY10" s="29">
        <f>(((E10/8)*1.25)*0.1)*AX10</f>
        <v>75</v>
      </c>
      <c r="AZ10" s="27">
        <v>8</v>
      </c>
      <c r="BA10" s="27"/>
      <c r="BB10" s="28">
        <f>AZ10+(BA10/60)</f>
        <v>8</v>
      </c>
      <c r="BC10" s="29">
        <f>((E10/8)*1.3*0.1)*BB10</f>
        <v>78</v>
      </c>
      <c r="BD10" s="30">
        <v>8</v>
      </c>
      <c r="BE10" s="29"/>
      <c r="BF10" s="28">
        <f>BD10+(BE10/60)</f>
        <v>8</v>
      </c>
      <c r="BG10" s="29">
        <f>(((E10/8)*1.3*1.3)*0.1)*BF10</f>
        <v>101.4</v>
      </c>
      <c r="BH10" s="27">
        <v>8</v>
      </c>
      <c r="BI10" s="27"/>
      <c r="BJ10" s="28">
        <f>BH10+(BI10/60)</f>
        <v>8</v>
      </c>
      <c r="BK10" s="29">
        <f>((E10/8)*1.3*0.1)*BJ10</f>
        <v>78</v>
      </c>
      <c r="BL10" s="30">
        <v>8</v>
      </c>
      <c r="BM10" s="29"/>
      <c r="BN10" s="28">
        <f>BL10+(BM10/60)</f>
        <v>8</v>
      </c>
      <c r="BO10" s="29">
        <f>(((E10/8)*1.3*1.3)*0.1)*BN10</f>
        <v>101.4</v>
      </c>
      <c r="BP10" s="27">
        <v>8</v>
      </c>
      <c r="BQ10" s="27"/>
      <c r="BR10" s="28">
        <f>BP10+(BQ10/60)</f>
        <v>8</v>
      </c>
      <c r="BS10" s="29">
        <f>((E10/8)*1.5*0.1)*BR10</f>
        <v>90</v>
      </c>
      <c r="BT10" s="27">
        <v>8</v>
      </c>
      <c r="BU10" s="27"/>
      <c r="BV10" s="28">
        <f>BT10+(BU10/60)</f>
        <v>8</v>
      </c>
      <c r="BW10" s="29">
        <f>(((E10/8)*1.5*1.3)*0.1)*BV10</f>
        <v>117</v>
      </c>
      <c r="BX10" s="27">
        <v>8</v>
      </c>
      <c r="BY10" s="27"/>
      <c r="BZ10" s="28">
        <f>BX10+(BY10/60)</f>
        <v>8</v>
      </c>
      <c r="CA10" s="29">
        <f>((E10/8)*2*0.1)*BZ10</f>
        <v>120</v>
      </c>
      <c r="CB10" s="27">
        <v>8</v>
      </c>
      <c r="CC10" s="27"/>
      <c r="CD10" s="28">
        <f>CB10+(CC10/60)</f>
        <v>8</v>
      </c>
      <c r="CE10" s="29">
        <f>(((E10/8)*2*1.3)*0.1)*CD10</f>
        <v>156</v>
      </c>
      <c r="CF10" s="27">
        <v>8</v>
      </c>
      <c r="CG10" s="27"/>
      <c r="CH10" s="28">
        <f>CF10+(CG10/60)</f>
        <v>8</v>
      </c>
      <c r="CI10" s="29">
        <f>((E10/8)*2.6*0.1)*CH10</f>
        <v>156</v>
      </c>
      <c r="CJ10" s="27">
        <v>8</v>
      </c>
      <c r="CK10" s="27"/>
      <c r="CL10" s="28">
        <f>CJ10+(CK10/60)</f>
        <v>8</v>
      </c>
      <c r="CM10" s="29">
        <f>(((E10/8)*2.6*1.3)*0.1)*CL10</f>
        <v>202.8</v>
      </c>
      <c r="CN10" s="27">
        <v>454.5</v>
      </c>
      <c r="CO10" s="31">
        <f>(D10*E10)+(G10)+(K10+M10+Q10+S10+W10+Y10+AC10+AE10+AG10+AK10+AM10+AQ10+AU10+BC10+BK10+BS10+CA10+CI10+CN10)</f>
        <v>6340.5</v>
      </c>
      <c r="CP10" s="28"/>
      <c r="CQ10" s="28">
        <v>1150</v>
      </c>
      <c r="CR10" s="28">
        <v>200</v>
      </c>
      <c r="CS10" s="28"/>
      <c r="CT10" s="28"/>
      <c r="CU10" s="28"/>
      <c r="CV10" s="32"/>
      <c r="CW10" s="28"/>
      <c r="CX10" s="28"/>
      <c r="CY10" s="28"/>
      <c r="CZ10" s="28"/>
      <c r="DA10" s="33">
        <f>SUM(CP10:CT10)+ SUM(CU10:CZ10)</f>
        <v>1350</v>
      </c>
      <c r="DB10" s="34">
        <f>CO10-DA10</f>
        <v>4990.5</v>
      </c>
    </row>
    <row r="11" spans="1:106" ht="74" customHeight="1" x14ac:dyDescent="0.2">
      <c r="A11" s="25"/>
      <c r="B11" s="26">
        <v>2</v>
      </c>
      <c r="C11" s="27" t="s">
        <v>57</v>
      </c>
      <c r="D11" s="27"/>
      <c r="E11" s="28"/>
      <c r="F11" s="28"/>
      <c r="G11" s="28"/>
      <c r="H11" s="27"/>
      <c r="I11" s="27"/>
      <c r="J11" s="28"/>
      <c r="K11" s="29"/>
      <c r="L11" s="27"/>
      <c r="M11" s="29"/>
      <c r="N11" s="27"/>
      <c r="O11" s="27"/>
      <c r="P11" s="28"/>
      <c r="Q11" s="29"/>
      <c r="R11" s="28"/>
      <c r="S11" s="29"/>
      <c r="T11" s="27"/>
      <c r="U11" s="27"/>
      <c r="V11" s="28"/>
      <c r="W11" s="29"/>
      <c r="X11" s="28"/>
      <c r="Y11" s="29"/>
      <c r="Z11" s="27"/>
      <c r="AA11" s="27"/>
      <c r="AB11" s="28"/>
      <c r="AC11" s="29"/>
      <c r="AD11" s="28"/>
      <c r="AE11" s="29"/>
      <c r="AF11" s="28"/>
      <c r="AG11" s="29"/>
      <c r="AH11" s="27"/>
      <c r="AI11" s="27"/>
      <c r="AJ11" s="28"/>
      <c r="AK11" s="29"/>
      <c r="AL11" s="28"/>
      <c r="AM11" s="29"/>
      <c r="AN11" s="27"/>
      <c r="AO11" s="27"/>
      <c r="AP11" s="28"/>
      <c r="AQ11" s="29"/>
      <c r="AR11" s="27"/>
      <c r="AS11" s="27"/>
      <c r="AT11" s="28"/>
      <c r="AU11" s="29"/>
      <c r="AV11" s="27"/>
      <c r="AW11" s="27"/>
      <c r="AX11" s="27"/>
      <c r="AY11" s="27"/>
      <c r="AZ11" s="27"/>
      <c r="BA11" s="27"/>
      <c r="BB11" s="28"/>
      <c r="BC11" s="29"/>
      <c r="BD11" s="29"/>
      <c r="BE11" s="29"/>
      <c r="BF11" s="29"/>
      <c r="BG11" s="29"/>
      <c r="BH11" s="27"/>
      <c r="BI11" s="27"/>
      <c r="BJ11" s="28"/>
      <c r="BK11" s="29"/>
      <c r="BL11" s="29"/>
      <c r="BM11" s="29"/>
      <c r="BN11" s="29"/>
      <c r="BO11" s="29"/>
      <c r="BP11" s="27"/>
      <c r="BQ11" s="27"/>
      <c r="BR11" s="28"/>
      <c r="BS11" s="29"/>
      <c r="BT11" s="29"/>
      <c r="BU11" s="29"/>
      <c r="BV11" s="29"/>
      <c r="BW11" s="29"/>
      <c r="BX11" s="27"/>
      <c r="BY11" s="27"/>
      <c r="BZ11" s="28"/>
      <c r="CA11" s="29"/>
      <c r="CB11" s="29"/>
      <c r="CC11" s="29"/>
      <c r="CD11" s="29"/>
      <c r="CE11" s="29"/>
      <c r="CF11" s="27"/>
      <c r="CG11" s="27"/>
      <c r="CH11" s="28"/>
      <c r="CI11" s="29"/>
      <c r="CJ11" s="29"/>
      <c r="CK11" s="29"/>
      <c r="CL11" s="29"/>
      <c r="CM11" s="29"/>
      <c r="CN11" s="27"/>
      <c r="CO11" s="31"/>
      <c r="CP11" s="28"/>
      <c r="CQ11" s="28"/>
      <c r="CR11" s="28"/>
      <c r="CS11" s="28"/>
      <c r="CT11" s="28"/>
      <c r="CU11" s="28"/>
      <c r="CV11" s="32"/>
      <c r="CW11" s="28"/>
      <c r="CX11" s="28"/>
      <c r="CY11" s="28"/>
      <c r="CZ11" s="28"/>
      <c r="DA11" s="33"/>
      <c r="DB11" s="34"/>
    </row>
    <row r="12" spans="1:106" ht="148" customHeight="1" x14ac:dyDescent="0.2">
      <c r="A12" s="25"/>
      <c r="B12" s="26">
        <v>3</v>
      </c>
      <c r="C12" s="27" t="s">
        <v>58</v>
      </c>
      <c r="D12" s="27"/>
      <c r="E12" s="28"/>
      <c r="F12" s="28"/>
      <c r="G12" s="28"/>
      <c r="H12" s="27"/>
      <c r="I12" s="27"/>
      <c r="J12" s="28"/>
      <c r="K12" s="29"/>
      <c r="L12" s="27"/>
      <c r="M12" s="29"/>
      <c r="N12" s="27"/>
      <c r="O12" s="27"/>
      <c r="P12" s="28"/>
      <c r="Q12" s="29"/>
      <c r="R12" s="28"/>
      <c r="S12" s="29"/>
      <c r="T12" s="27"/>
      <c r="U12" s="27"/>
      <c r="V12" s="28"/>
      <c r="W12" s="29"/>
      <c r="X12" s="28"/>
      <c r="Y12" s="29"/>
      <c r="Z12" s="27"/>
      <c r="AA12" s="27"/>
      <c r="AB12" s="28"/>
      <c r="AC12" s="29"/>
      <c r="AD12" s="28"/>
      <c r="AE12" s="29"/>
      <c r="AF12" s="28"/>
      <c r="AG12" s="29"/>
      <c r="AH12" s="27"/>
      <c r="AI12" s="27"/>
      <c r="AJ12" s="28"/>
      <c r="AK12" s="29"/>
      <c r="AL12" s="28"/>
      <c r="AM12" s="29"/>
      <c r="AN12" s="27"/>
      <c r="AO12" s="27"/>
      <c r="AP12" s="28"/>
      <c r="AQ12" s="29"/>
      <c r="AR12" s="27"/>
      <c r="AS12" s="27"/>
      <c r="AT12" s="28"/>
      <c r="AU12" s="29"/>
      <c r="AV12" s="27"/>
      <c r="AW12" s="27"/>
      <c r="AX12" s="27"/>
      <c r="AY12" s="27"/>
      <c r="AZ12" s="27"/>
      <c r="BA12" s="27"/>
      <c r="BB12" s="28"/>
      <c r="BC12" s="29"/>
      <c r="BD12" s="29"/>
      <c r="BE12" s="29"/>
      <c r="BF12" s="29"/>
      <c r="BG12" s="29"/>
      <c r="BH12" s="27"/>
      <c r="BI12" s="27"/>
      <c r="BJ12" s="28"/>
      <c r="BK12" s="29"/>
      <c r="BL12" s="29"/>
      <c r="BM12" s="29"/>
      <c r="BN12" s="29"/>
      <c r="BO12" s="29"/>
      <c r="BP12" s="27"/>
      <c r="BQ12" s="27"/>
      <c r="BR12" s="28"/>
      <c r="BS12" s="29"/>
      <c r="BT12" s="29"/>
      <c r="BU12" s="29"/>
      <c r="BV12" s="29"/>
      <c r="BW12" s="29"/>
      <c r="BX12" s="27"/>
      <c r="BY12" s="27"/>
      <c r="BZ12" s="28"/>
      <c r="CA12" s="29"/>
      <c r="CB12" s="29"/>
      <c r="CC12" s="29"/>
      <c r="CD12" s="29"/>
      <c r="CE12" s="29"/>
      <c r="CF12" s="27"/>
      <c r="CG12" s="27"/>
      <c r="CH12" s="28"/>
      <c r="CI12" s="29"/>
      <c r="CJ12" s="29"/>
      <c r="CK12" s="29"/>
      <c r="CL12" s="29"/>
      <c r="CM12" s="29"/>
      <c r="CN12" s="27"/>
      <c r="CO12" s="31"/>
      <c r="CP12" s="28"/>
      <c r="CQ12" s="28"/>
      <c r="CR12" s="28"/>
      <c r="CS12" s="28"/>
      <c r="CT12" s="28"/>
      <c r="CU12" s="28"/>
      <c r="CV12" s="32"/>
      <c r="CW12" s="28"/>
      <c r="CX12" s="28"/>
      <c r="CY12" s="28"/>
      <c r="CZ12" s="28"/>
      <c r="DA12" s="33"/>
      <c r="DB12" s="34"/>
    </row>
    <row r="13" spans="1:106" ht="148" customHeight="1" x14ac:dyDescent="0.2">
      <c r="A13" s="25"/>
      <c r="B13" s="26">
        <v>4</v>
      </c>
      <c r="C13" s="27" t="s">
        <v>59</v>
      </c>
      <c r="D13" s="27"/>
      <c r="E13" s="28"/>
      <c r="F13" s="28"/>
      <c r="G13" s="28"/>
      <c r="H13" s="27"/>
      <c r="I13" s="27"/>
      <c r="J13" s="28"/>
      <c r="K13" s="29"/>
      <c r="L13" s="27"/>
      <c r="M13" s="29"/>
      <c r="N13" s="27"/>
      <c r="O13" s="27"/>
      <c r="P13" s="28"/>
      <c r="Q13" s="29"/>
      <c r="R13" s="28"/>
      <c r="S13" s="29"/>
      <c r="T13" s="27"/>
      <c r="U13" s="27"/>
      <c r="V13" s="28"/>
      <c r="W13" s="29"/>
      <c r="X13" s="28"/>
      <c r="Y13" s="29"/>
      <c r="Z13" s="27"/>
      <c r="AA13" s="27"/>
      <c r="AB13" s="28"/>
      <c r="AC13" s="29"/>
      <c r="AD13" s="28"/>
      <c r="AE13" s="29"/>
      <c r="AF13" s="28"/>
      <c r="AG13" s="29"/>
      <c r="AH13" s="27"/>
      <c r="AI13" s="27"/>
      <c r="AJ13" s="28"/>
      <c r="AK13" s="29"/>
      <c r="AL13" s="28"/>
      <c r="AM13" s="29"/>
      <c r="AN13" s="27"/>
      <c r="AO13" s="27"/>
      <c r="AP13" s="28"/>
      <c r="AQ13" s="29"/>
      <c r="AR13" s="27"/>
      <c r="AS13" s="27"/>
      <c r="AT13" s="28"/>
      <c r="AU13" s="29"/>
      <c r="AV13" s="27"/>
      <c r="AW13" s="27"/>
      <c r="AX13" s="27"/>
      <c r="AY13" s="27"/>
      <c r="AZ13" s="27"/>
      <c r="BA13" s="27"/>
      <c r="BB13" s="28"/>
      <c r="BC13" s="29"/>
      <c r="BD13" s="29"/>
      <c r="BE13" s="29"/>
      <c r="BF13" s="29"/>
      <c r="BG13" s="29"/>
      <c r="BH13" s="27"/>
      <c r="BI13" s="27"/>
      <c r="BJ13" s="28"/>
      <c r="BK13" s="29"/>
      <c r="BL13" s="29"/>
      <c r="BM13" s="29"/>
      <c r="BN13" s="29"/>
      <c r="BO13" s="29"/>
      <c r="BP13" s="27"/>
      <c r="BQ13" s="27"/>
      <c r="BR13" s="28"/>
      <c r="BS13" s="29"/>
      <c r="BT13" s="29"/>
      <c r="BU13" s="29"/>
      <c r="BV13" s="29"/>
      <c r="BW13" s="29"/>
      <c r="BX13" s="27"/>
      <c r="BY13" s="27"/>
      <c r="BZ13" s="28"/>
      <c r="CA13" s="29"/>
      <c r="CB13" s="29"/>
      <c r="CC13" s="29"/>
      <c r="CD13" s="29"/>
      <c r="CE13" s="29"/>
      <c r="CF13" s="27"/>
      <c r="CG13" s="27"/>
      <c r="CH13" s="28"/>
      <c r="CI13" s="29"/>
      <c r="CJ13" s="29"/>
      <c r="CK13" s="29"/>
      <c r="CL13" s="29"/>
      <c r="CM13" s="29"/>
      <c r="CN13" s="27"/>
      <c r="CO13" s="31"/>
      <c r="CP13" s="28"/>
      <c r="CQ13" s="28"/>
      <c r="CR13" s="28"/>
      <c r="CS13" s="28"/>
      <c r="CT13" s="28"/>
      <c r="CU13" s="28"/>
      <c r="CV13" s="32"/>
      <c r="CW13" s="28"/>
      <c r="CX13" s="28"/>
      <c r="CY13" s="28"/>
      <c r="CZ13" s="28"/>
      <c r="DA13" s="33"/>
      <c r="DB13" s="34"/>
    </row>
    <row r="14" spans="1:106" ht="36" customHeight="1" x14ac:dyDescent="0.2">
      <c r="A14" s="25"/>
      <c r="B14" s="26"/>
      <c r="C14" s="27"/>
      <c r="D14" s="27"/>
      <c r="E14" s="28"/>
      <c r="F14" s="28"/>
      <c r="G14" s="28"/>
      <c r="H14" s="27"/>
      <c r="I14" s="27"/>
      <c r="J14" s="28"/>
      <c r="K14" s="29"/>
      <c r="L14" s="27"/>
      <c r="M14" s="29"/>
      <c r="N14" s="27"/>
      <c r="O14" s="27"/>
      <c r="P14" s="28"/>
      <c r="Q14" s="29"/>
      <c r="R14" s="28"/>
      <c r="S14" s="29"/>
      <c r="T14" s="27"/>
      <c r="U14" s="27"/>
      <c r="V14" s="28"/>
      <c r="W14" s="29"/>
      <c r="X14" s="28"/>
      <c r="Y14" s="29"/>
      <c r="Z14" s="28"/>
      <c r="AA14" s="28"/>
      <c r="AB14" s="28"/>
      <c r="AC14" s="29"/>
      <c r="AD14" s="28"/>
      <c r="AE14" s="29"/>
      <c r="AF14" s="28"/>
      <c r="AG14" s="29"/>
      <c r="AH14" s="28"/>
      <c r="AI14" s="28"/>
      <c r="AJ14" s="28"/>
      <c r="AK14" s="29"/>
      <c r="AL14" s="28"/>
      <c r="AM14" s="29"/>
      <c r="AN14" s="28"/>
      <c r="AO14" s="28"/>
      <c r="AP14" s="28"/>
      <c r="AQ14" s="29"/>
      <c r="AR14" s="27"/>
      <c r="AS14" s="27"/>
      <c r="AT14" s="28"/>
      <c r="AU14" s="29"/>
      <c r="AV14" s="28"/>
      <c r="AW14" s="28"/>
      <c r="AX14" s="28"/>
      <c r="AY14" s="28"/>
      <c r="AZ14" s="28"/>
      <c r="BA14" s="28"/>
      <c r="BB14" s="28"/>
      <c r="BC14" s="29"/>
      <c r="BD14" s="29"/>
      <c r="BE14" s="29"/>
      <c r="BF14" s="29"/>
      <c r="BG14" s="29"/>
      <c r="BH14" s="28"/>
      <c r="BI14" s="28"/>
      <c r="BJ14" s="28"/>
      <c r="BK14" s="29"/>
      <c r="BL14" s="29"/>
      <c r="BM14" s="29"/>
      <c r="BN14" s="29"/>
      <c r="BO14" s="29"/>
      <c r="BP14" s="28"/>
      <c r="BQ14" s="28"/>
      <c r="BR14" s="28"/>
      <c r="BS14" s="29"/>
      <c r="BT14" s="29"/>
      <c r="BU14" s="29"/>
      <c r="BV14" s="29"/>
      <c r="BW14" s="29"/>
      <c r="BX14" s="28"/>
      <c r="BY14" s="28"/>
      <c r="BZ14" s="28"/>
      <c r="CA14" s="29"/>
      <c r="CB14" s="29"/>
      <c r="CC14" s="29"/>
      <c r="CD14" s="29"/>
      <c r="CE14" s="29"/>
      <c r="CF14" s="28"/>
      <c r="CG14" s="28"/>
      <c r="CH14" s="28"/>
      <c r="CI14" s="29"/>
      <c r="CJ14" s="29"/>
      <c r="CK14" s="29"/>
      <c r="CL14" s="29"/>
      <c r="CM14" s="29"/>
      <c r="CN14" s="36"/>
      <c r="CO14" s="31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33"/>
      <c r="DB14" s="34"/>
    </row>
    <row r="15" spans="1:106" ht="36" customHeight="1" x14ac:dyDescent="0.2">
      <c r="A15" s="37"/>
      <c r="B15" s="57"/>
      <c r="C15" s="16"/>
      <c r="D15" s="16"/>
      <c r="E15" s="16"/>
      <c r="F15" s="38">
        <f>SUM(F10:F11)</f>
        <v>0</v>
      </c>
      <c r="G15" s="38"/>
      <c r="H15" s="39"/>
      <c r="I15" s="39"/>
      <c r="J15" s="39"/>
      <c r="K15" s="38">
        <f>SUM(K10:K11)</f>
        <v>187.5</v>
      </c>
      <c r="L15" s="38"/>
      <c r="M15" s="38">
        <f>SUM(M10:M11)</f>
        <v>180</v>
      </c>
      <c r="N15" s="38"/>
      <c r="O15" s="38"/>
      <c r="P15" s="38"/>
      <c r="Q15" s="38">
        <f>SUM(Q10:Q11)</f>
        <v>253.5</v>
      </c>
      <c r="R15" s="38"/>
      <c r="S15" s="38">
        <f>SUM(S10:S11)</f>
        <v>180</v>
      </c>
      <c r="T15" s="38"/>
      <c r="U15" s="38"/>
      <c r="V15" s="38"/>
      <c r="W15" s="38">
        <f>SUM(W10:W11)</f>
        <v>253.5</v>
      </c>
      <c r="X15" s="38"/>
      <c r="Y15" s="38">
        <f>SUM(Y10:Y11)</f>
        <v>300</v>
      </c>
      <c r="Z15" s="38"/>
      <c r="AA15" s="38"/>
      <c r="AB15" s="38"/>
      <c r="AC15" s="38">
        <f>SUM(AC10:AC11)</f>
        <v>292.5</v>
      </c>
      <c r="AD15" s="38"/>
      <c r="AE15" s="38">
        <f>SUM(AE10:AE11)</f>
        <v>600</v>
      </c>
      <c r="AF15" s="38"/>
      <c r="AG15" s="38">
        <f>SUM(AG10:AG11)</f>
        <v>600</v>
      </c>
      <c r="AH15" s="38"/>
      <c r="AI15" s="38"/>
      <c r="AJ15" s="38"/>
      <c r="AK15" s="38">
        <f>SUM(AK10:AK11)</f>
        <v>390</v>
      </c>
      <c r="AL15" s="38"/>
      <c r="AM15" s="38">
        <f>SUM(AM10:AM11)</f>
        <v>960</v>
      </c>
      <c r="AN15" s="38"/>
      <c r="AO15" s="38"/>
      <c r="AP15" s="38"/>
      <c r="AQ15" s="38">
        <f>SUM(AQ10:AQ11)</f>
        <v>507</v>
      </c>
      <c r="AR15" s="38"/>
      <c r="AS15" s="38"/>
      <c r="AT15" s="38"/>
      <c r="AU15" s="38">
        <f>SUM(AU10:AU11)</f>
        <v>60</v>
      </c>
      <c r="AV15" s="38"/>
      <c r="AW15" s="38"/>
      <c r="AX15" s="38"/>
      <c r="AY15" s="38"/>
      <c r="AZ15" s="38"/>
      <c r="BA15" s="38"/>
      <c r="BB15" s="38"/>
      <c r="BC15" s="38">
        <f>SUM(BC10:BC11)</f>
        <v>78</v>
      </c>
      <c r="BD15" s="38"/>
      <c r="BE15" s="38"/>
      <c r="BF15" s="38"/>
      <c r="BG15" s="38"/>
      <c r="BH15" s="38"/>
      <c r="BI15" s="38"/>
      <c r="BJ15" s="38"/>
      <c r="BK15" s="38">
        <f>SUM(BK10:BK11)</f>
        <v>78</v>
      </c>
      <c r="BL15" s="38"/>
      <c r="BM15" s="38"/>
      <c r="BN15" s="38"/>
      <c r="BO15" s="38"/>
      <c r="BP15" s="38"/>
      <c r="BQ15" s="38"/>
      <c r="BR15" s="38"/>
      <c r="BS15" s="38">
        <f>SUM(BS10:BS11)</f>
        <v>90</v>
      </c>
      <c r="BT15" s="38"/>
      <c r="BU15" s="38"/>
      <c r="BV15" s="38"/>
      <c r="BW15" s="38"/>
      <c r="BX15" s="38"/>
      <c r="BY15" s="38"/>
      <c r="BZ15" s="38"/>
      <c r="CA15" s="38">
        <f>SUM(CA10:CA11)</f>
        <v>120</v>
      </c>
      <c r="CB15" s="38"/>
      <c r="CC15" s="38"/>
      <c r="CD15" s="38"/>
      <c r="CE15" s="38"/>
      <c r="CF15" s="38"/>
      <c r="CG15" s="38"/>
      <c r="CH15" s="38"/>
      <c r="CI15" s="38">
        <f>SUM(CI10:CI11)</f>
        <v>156</v>
      </c>
      <c r="CJ15" s="38"/>
      <c r="CK15" s="38"/>
      <c r="CL15" s="38"/>
      <c r="CM15" s="38"/>
      <c r="CN15" s="38">
        <f>SUM(CN10:CN11)</f>
        <v>454.5</v>
      </c>
      <c r="CO15" s="31">
        <f>SUM(CO10:CO14)</f>
        <v>6340.5</v>
      </c>
      <c r="CP15" s="38">
        <f t="shared" ref="CP15:CW15" si="0">SUM(CP10:CP11)</f>
        <v>0</v>
      </c>
      <c r="CQ15" s="38">
        <f t="shared" si="0"/>
        <v>1150</v>
      </c>
      <c r="CR15" s="38">
        <f t="shared" si="0"/>
        <v>200</v>
      </c>
      <c r="CS15" s="38">
        <f t="shared" si="0"/>
        <v>0</v>
      </c>
      <c r="CT15" s="38">
        <f t="shared" si="0"/>
        <v>0</v>
      </c>
      <c r="CU15" s="38">
        <f t="shared" si="0"/>
        <v>0</v>
      </c>
      <c r="CV15" s="38">
        <f t="shared" si="0"/>
        <v>0</v>
      </c>
      <c r="CW15" s="38">
        <f t="shared" si="0"/>
        <v>0</v>
      </c>
      <c r="CX15" s="38"/>
      <c r="CY15" s="38">
        <f>SUM(CY10:CY11)</f>
        <v>0</v>
      </c>
      <c r="CZ15" s="38"/>
      <c r="DA15" s="40"/>
      <c r="DB15" s="38">
        <f>SUM(DB10:DB14)</f>
        <v>4990.5</v>
      </c>
    </row>
    <row r="16" spans="1:106" ht="37" customHeight="1" x14ac:dyDescent="0.2">
      <c r="A16" s="41"/>
      <c r="B16" s="42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3"/>
      <c r="CP16" s="41"/>
      <c r="CQ16" s="41"/>
      <c r="CR16" s="41"/>
      <c r="CS16" s="41"/>
      <c r="CT16" s="41"/>
      <c r="CU16" s="41"/>
      <c r="CV16" s="41"/>
      <c r="CW16" s="41"/>
      <c r="CX16" s="41"/>
      <c r="CY16" s="44"/>
      <c r="CZ16" s="44"/>
      <c r="DA16" s="45"/>
      <c r="DB16" s="46"/>
    </row>
    <row r="17" spans="1:106" ht="36" customHeight="1" x14ac:dyDescent="0.2">
      <c r="A17" s="25"/>
      <c r="B17" s="48" t="s">
        <v>60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13"/>
      <c r="CP17" s="49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54"/>
      <c r="DB17" s="8"/>
    </row>
    <row r="18" spans="1:106" ht="36" customHeight="1" x14ac:dyDescent="0.2">
      <c r="A18" s="25"/>
      <c r="B18" s="50"/>
      <c r="C18" s="49"/>
      <c r="D18" s="49"/>
      <c r="E18" s="49" t="s">
        <v>61</v>
      </c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13"/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55"/>
      <c r="DB18" s="8"/>
    </row>
    <row r="19" spans="1:106" ht="37" customHeight="1" x14ac:dyDescent="0.2">
      <c r="A19" s="25"/>
      <c r="B19" s="48" t="s">
        <v>62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13"/>
      <c r="CP19" s="49"/>
      <c r="CQ19" s="49"/>
      <c r="CR19" s="49"/>
      <c r="CS19" s="49"/>
      <c r="CT19" s="49"/>
      <c r="CU19" s="49"/>
      <c r="CV19" s="49"/>
      <c r="CW19" s="49"/>
      <c r="CX19" s="56" t="s">
        <v>63</v>
      </c>
      <c r="CY19" s="8"/>
      <c r="CZ19" s="8"/>
      <c r="DA19" s="8"/>
      <c r="DB19" s="47"/>
    </row>
    <row r="20" spans="1:106" ht="36" customHeight="1" x14ac:dyDescent="0.2">
      <c r="A20" s="9"/>
      <c r="B20" s="48" t="s">
        <v>42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  <c r="CK20" s="25"/>
      <c r="CL20" s="25"/>
      <c r="CM20" s="25"/>
      <c r="CN20" s="25"/>
      <c r="CO20" s="52"/>
      <c r="CP20" s="25"/>
      <c r="CQ20" s="25"/>
      <c r="CR20" s="25"/>
      <c r="CS20" s="25"/>
      <c r="CT20" s="25"/>
      <c r="CU20" s="25"/>
      <c r="CV20" s="25"/>
      <c r="CW20" s="25"/>
      <c r="CX20" s="49"/>
      <c r="CY20" s="50"/>
      <c r="CZ20" s="50"/>
      <c r="DA20" s="50"/>
      <c r="DB20" s="50"/>
    </row>
  </sheetData>
  <mergeCells count="55">
    <mergeCell ref="X7:Y7"/>
    <mergeCell ref="E6:E9"/>
    <mergeCell ref="CN6:CN9"/>
    <mergeCell ref="AD8:AE8"/>
    <mergeCell ref="T8:W8"/>
    <mergeCell ref="CF8:CI8"/>
    <mergeCell ref="AN8:AQ8"/>
    <mergeCell ref="BX7:CA7"/>
    <mergeCell ref="CJ7:CM7"/>
    <mergeCell ref="DB6:DB9"/>
    <mergeCell ref="CU8:CZ8"/>
    <mergeCell ref="R7:S7"/>
    <mergeCell ref="CO6:CO9"/>
    <mergeCell ref="L6:M7"/>
    <mergeCell ref="AL7:AM7"/>
    <mergeCell ref="BL8:BO8"/>
    <mergeCell ref="BX8:CA8"/>
    <mergeCell ref="AZ7:BC8"/>
    <mergeCell ref="BH7:BK7"/>
    <mergeCell ref="R6:AQ6"/>
    <mergeCell ref="BP7:BS7"/>
    <mergeCell ref="DA6:DA9"/>
    <mergeCell ref="AR6:CM6"/>
    <mergeCell ref="AH8:AK8"/>
    <mergeCell ref="CJ8:CM8"/>
    <mergeCell ref="B6:B9"/>
    <mergeCell ref="Z7:AC7"/>
    <mergeCell ref="BT7:BW7"/>
    <mergeCell ref="N6:Q7"/>
    <mergeCell ref="CB7:CE7"/>
    <mergeCell ref="AF8:AG8"/>
    <mergeCell ref="Z8:AC8"/>
    <mergeCell ref="C6:C9"/>
    <mergeCell ref="R8:S8"/>
    <mergeCell ref="D6:D9"/>
    <mergeCell ref="T7:W7"/>
    <mergeCell ref="H6:K7"/>
    <mergeCell ref="AH7:AK7"/>
    <mergeCell ref="AN7:AQ7"/>
    <mergeCell ref="F6:G8"/>
    <mergeCell ref="X8:Y8"/>
    <mergeCell ref="CP6:CZ7"/>
    <mergeCell ref="CF7:CI7"/>
    <mergeCell ref="AL8:AM8"/>
    <mergeCell ref="AD7:AE7"/>
    <mergeCell ref="AF7:AG7"/>
    <mergeCell ref="BD7:BG8"/>
    <mergeCell ref="CP8:CT8"/>
    <mergeCell ref="AR7:AU8"/>
    <mergeCell ref="BH8:BK8"/>
    <mergeCell ref="BT8:BW8"/>
    <mergeCell ref="BP8:BS8"/>
    <mergeCell ref="CB8:CE8"/>
    <mergeCell ref="AV7:AY8"/>
    <mergeCell ref="BL7:BO7"/>
  </mergeCells>
  <conditionalFormatting sqref="B6:B9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FFFFFF"/>
        <color rgb="FF57BB8A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5:T24"/>
  <sheetViews>
    <sheetView workbookViewId="0">
      <selection activeCell="C25" sqref="C25"/>
    </sheetView>
  </sheetViews>
  <sheetFormatPr baseColWidth="10" defaultRowHeight="15" x14ac:dyDescent="0.2"/>
  <cols>
    <col min="1" max="1" width="10.83203125" style="2" customWidth="1"/>
    <col min="2" max="2" width="17.33203125" style="2" customWidth="1"/>
    <col min="3" max="3" width="40.83203125" style="2" customWidth="1"/>
    <col min="4" max="4" width="21.1640625" style="2" customWidth="1"/>
    <col min="5" max="6" width="10.83203125" style="2" customWidth="1"/>
    <col min="7" max="7" width="13" style="2" customWidth="1"/>
    <col min="8" max="9" width="10.83203125" style="2" customWidth="1"/>
    <col min="10" max="10" width="14.1640625" style="2" customWidth="1"/>
    <col min="11" max="12" width="10.83203125" style="2" customWidth="1"/>
    <col min="13" max="13" width="18" style="2" customWidth="1"/>
    <col min="14" max="17" width="10.83203125" style="2" customWidth="1"/>
    <col min="18" max="18" width="12.5" style="2" customWidth="1"/>
    <col min="19" max="19" width="10.83203125" style="2" customWidth="1"/>
    <col min="20" max="16384" width="10.83203125" style="2"/>
  </cols>
  <sheetData>
    <row r="5" spans="1:20" ht="16" customHeight="1" thickBot="1" x14ac:dyDescent="0.25">
      <c r="A5" s="1"/>
      <c r="B5" s="1"/>
      <c r="C5" s="1"/>
    </row>
    <row r="6" spans="1:20" ht="16" customHeight="1" thickTop="1" x14ac:dyDescent="0.2">
      <c r="A6" s="1"/>
      <c r="B6" s="84" t="s">
        <v>65</v>
      </c>
      <c r="C6" s="84" t="s">
        <v>66</v>
      </c>
      <c r="D6" s="84" t="s">
        <v>67</v>
      </c>
      <c r="E6" s="86" t="s">
        <v>68</v>
      </c>
      <c r="F6" s="86" t="s">
        <v>69</v>
      </c>
      <c r="G6" s="86" t="s">
        <v>70</v>
      </c>
      <c r="H6" s="86" t="s">
        <v>71</v>
      </c>
      <c r="I6" s="86" t="s">
        <v>72</v>
      </c>
      <c r="J6" s="86" t="s">
        <v>73</v>
      </c>
      <c r="K6" s="85" t="s">
        <v>74</v>
      </c>
      <c r="L6" s="85" t="s">
        <v>75</v>
      </c>
      <c r="M6" s="85" t="s">
        <v>76</v>
      </c>
      <c r="N6" s="81" t="s">
        <v>77</v>
      </c>
      <c r="O6" s="81" t="s">
        <v>78</v>
      </c>
      <c r="P6" s="81" t="s">
        <v>79</v>
      </c>
      <c r="Q6" s="81" t="s">
        <v>80</v>
      </c>
      <c r="R6" s="81" t="s">
        <v>81</v>
      </c>
      <c r="S6" s="81" t="s">
        <v>82</v>
      </c>
      <c r="T6" s="85" t="s">
        <v>15</v>
      </c>
    </row>
    <row r="7" spans="1:20" ht="15" customHeight="1" x14ac:dyDescent="0.2">
      <c r="A7" s="1"/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</row>
    <row r="8" spans="1:20" ht="15" customHeight="1" x14ac:dyDescent="0.2">
      <c r="A8" s="1"/>
      <c r="B8" s="82"/>
      <c r="C8" s="82"/>
      <c r="D8" s="82"/>
      <c r="E8" s="82"/>
      <c r="F8" s="82"/>
      <c r="G8" s="82"/>
      <c r="H8" s="82"/>
      <c r="I8" s="82"/>
      <c r="J8" s="82"/>
      <c r="K8" s="82"/>
      <c r="L8" s="82"/>
      <c r="M8" s="82"/>
      <c r="N8" s="82"/>
      <c r="O8" s="82"/>
      <c r="P8" s="82"/>
      <c r="Q8" s="82"/>
      <c r="R8" s="82"/>
      <c r="S8" s="82"/>
      <c r="T8" s="82"/>
    </row>
    <row r="9" spans="1:20" ht="16" customHeight="1" thickBot="1" x14ac:dyDescent="0.25">
      <c r="A9" s="1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</row>
    <row r="10" spans="1:20" ht="16" customHeight="1" thickTop="1" x14ac:dyDescent="0.2">
      <c r="A10" s="1"/>
      <c r="B10" s="1"/>
      <c r="C10" s="3"/>
    </row>
    <row r="11" spans="1:20" x14ac:dyDescent="0.2">
      <c r="A11" s="1"/>
      <c r="B11" s="1"/>
      <c r="C11" s="3"/>
    </row>
    <row r="12" spans="1:20" x14ac:dyDescent="0.2">
      <c r="A12" s="1"/>
      <c r="B12" s="1"/>
      <c r="C12" s="3"/>
    </row>
    <row r="13" spans="1:20" x14ac:dyDescent="0.2">
      <c r="A13" s="1"/>
      <c r="B13" s="1"/>
      <c r="C13" s="3"/>
    </row>
    <row r="14" spans="1:20" x14ac:dyDescent="0.2">
      <c r="A14" s="1"/>
      <c r="B14" s="1"/>
      <c r="C14" s="3"/>
    </row>
    <row r="15" spans="1:20" x14ac:dyDescent="0.2">
      <c r="A15" s="1"/>
      <c r="B15" s="1"/>
      <c r="C15" s="3"/>
    </row>
    <row r="16" spans="1:20" x14ac:dyDescent="0.2">
      <c r="A16" s="1"/>
      <c r="B16" s="1"/>
      <c r="C16" s="3"/>
    </row>
    <row r="17" spans="1:3" x14ac:dyDescent="0.2">
      <c r="A17" s="1"/>
      <c r="B17" s="1"/>
      <c r="C17" s="3"/>
    </row>
    <row r="18" spans="1:3" x14ac:dyDescent="0.2">
      <c r="A18" s="1"/>
      <c r="B18" s="1"/>
      <c r="C18" s="1"/>
    </row>
    <row r="19" spans="1:3" x14ac:dyDescent="0.2">
      <c r="A19" s="1"/>
      <c r="B19" s="1"/>
      <c r="C19" s="3"/>
    </row>
    <row r="20" spans="1:3" x14ac:dyDescent="0.2">
      <c r="A20" s="1"/>
      <c r="B20" s="1"/>
      <c r="C20" s="3"/>
    </row>
    <row r="21" spans="1:3" x14ac:dyDescent="0.2">
      <c r="A21" s="1"/>
      <c r="B21" s="1"/>
      <c r="C21" s="3"/>
    </row>
    <row r="22" spans="1:3" x14ac:dyDescent="0.2">
      <c r="A22" s="1"/>
      <c r="B22" s="1"/>
      <c r="C22" s="3"/>
    </row>
    <row r="23" spans="1:3" x14ac:dyDescent="0.2">
      <c r="A23" s="1"/>
      <c r="B23" s="1"/>
      <c r="C23" s="1"/>
    </row>
    <row r="24" spans="1:3" x14ac:dyDescent="0.2">
      <c r="A24" s="1"/>
      <c r="B24" s="1"/>
      <c r="C24" s="1"/>
    </row>
  </sheetData>
  <mergeCells count="19">
    <mergeCell ref="F6:F9"/>
    <mergeCell ref="H6:H9"/>
    <mergeCell ref="J6:J9"/>
    <mergeCell ref="S6:S9"/>
    <mergeCell ref="B6:B9"/>
    <mergeCell ref="L6:L9"/>
    <mergeCell ref="N6:N9"/>
    <mergeCell ref="T6:T9"/>
    <mergeCell ref="I6:I9"/>
    <mergeCell ref="K6:K9"/>
    <mergeCell ref="C6:C9"/>
    <mergeCell ref="P6:P9"/>
    <mergeCell ref="R6:R9"/>
    <mergeCell ref="E6:E9"/>
    <mergeCell ref="G6:G9"/>
    <mergeCell ref="M6:M9"/>
    <mergeCell ref="Q6:Q9"/>
    <mergeCell ref="O6:O9"/>
    <mergeCell ref="D6:D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FINAL PAYROLL SUMMARY</vt:lpstr>
      <vt:lpstr>Sheet2</vt:lpstr>
      <vt:lpstr>Sheet1</vt:lpstr>
      <vt:lpstr>'FINAL PAYROLL SUMMARY'!Print_Area</vt:lpstr>
      <vt:lpstr>'FINAL PAYROLL SUMMARY'!Print_Titles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PAULA TUSI</dc:creator>
  <cp:lastModifiedBy>CAMILLE PAULA TUSI</cp:lastModifiedBy>
  <dcterms:created xsi:type="dcterms:W3CDTF">2026-02-09T07:46:14Z</dcterms:created>
  <dcterms:modified xsi:type="dcterms:W3CDTF">2026-05-10T05:50:05Z</dcterms:modified>
</cp:coreProperties>
</file>